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mLorenzen\Documents\App0\static\downloads\"/>
    </mc:Choice>
  </mc:AlternateContent>
  <xr:revisionPtr revIDLastSave="0" documentId="10_ncr:8100000_{B1A27305-03F2-47EF-B15D-8A1C80CDDA98}" xr6:coauthVersionLast="32" xr6:coauthVersionMax="32" xr10:uidLastSave="{00000000-0000-0000-0000-000000000000}"/>
  <bookViews>
    <workbookView xWindow="0" yWindow="0" windowWidth="6852" windowHeight="4692" xr2:uid="{A1AE285A-40C5-42A2-B68C-1B9EC99F826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N108" i="1" s="1"/>
  <c r="M107" i="1"/>
  <c r="N107" i="1" s="1"/>
  <c r="M106" i="1"/>
  <c r="N106" i="1" s="1"/>
  <c r="M105" i="1"/>
  <c r="N105" i="1" s="1"/>
  <c r="M104" i="1"/>
  <c r="N104" i="1" s="1"/>
  <c r="M103" i="1"/>
  <c r="N103" i="1" s="1"/>
  <c r="M102" i="1"/>
  <c r="N102" i="1" s="1"/>
  <c r="M101" i="1"/>
  <c r="N101" i="1" s="1"/>
  <c r="M100" i="1"/>
  <c r="N100" i="1" s="1"/>
  <c r="M99" i="1"/>
  <c r="N99" i="1" s="1"/>
  <c r="M98" i="1"/>
  <c r="N98" i="1" s="1"/>
  <c r="M97" i="1"/>
  <c r="N97" i="1" s="1"/>
  <c r="M96" i="1"/>
  <c r="N96" i="1" s="1"/>
  <c r="M95" i="1"/>
  <c r="N95" i="1" s="1"/>
  <c r="M94" i="1"/>
  <c r="N94" i="1" s="1"/>
  <c r="M93" i="1"/>
  <c r="N93" i="1" s="1"/>
  <c r="M92" i="1"/>
  <c r="N92" i="1" s="1"/>
  <c r="M91" i="1"/>
  <c r="N91" i="1" s="1"/>
  <c r="M90" i="1"/>
  <c r="N90" i="1" s="1"/>
  <c r="M89" i="1"/>
  <c r="N89" i="1" s="1"/>
  <c r="M88" i="1"/>
  <c r="N88" i="1" s="1"/>
  <c r="M87" i="1"/>
  <c r="N87" i="1" s="1"/>
  <c r="M86" i="1"/>
  <c r="N86" i="1" s="1"/>
  <c r="M85" i="1"/>
  <c r="N85" i="1" s="1"/>
  <c r="M84" i="1"/>
  <c r="N84" i="1" s="1"/>
  <c r="M83" i="1"/>
  <c r="N83" i="1" s="1"/>
  <c r="M82" i="1"/>
  <c r="N82" i="1" s="1"/>
  <c r="M81" i="1"/>
  <c r="N81" i="1" s="1"/>
  <c r="M80" i="1"/>
  <c r="N80" i="1" s="1"/>
  <c r="M79" i="1"/>
  <c r="N79" i="1" s="1"/>
  <c r="M78" i="1"/>
  <c r="N78" i="1" s="1"/>
  <c r="M77" i="1"/>
  <c r="N77" i="1" s="1"/>
  <c r="M76" i="1"/>
  <c r="N76" i="1" s="1"/>
  <c r="M75" i="1"/>
  <c r="N75" i="1" s="1"/>
  <c r="M74" i="1"/>
  <c r="N74" i="1" s="1"/>
  <c r="M73" i="1"/>
  <c r="N73" i="1" s="1"/>
  <c r="M72" i="1"/>
  <c r="N72" i="1" s="1"/>
  <c r="M71" i="1"/>
  <c r="N71" i="1" s="1"/>
  <c r="M70" i="1"/>
  <c r="N70" i="1" s="1"/>
  <c r="M69" i="1"/>
  <c r="N69" i="1" s="1"/>
  <c r="M68" i="1"/>
  <c r="N68" i="1" s="1"/>
  <c r="M67" i="1"/>
  <c r="N67" i="1" s="1"/>
  <c r="M66" i="1"/>
  <c r="N66" i="1" s="1"/>
  <c r="M65" i="1"/>
  <c r="N65" i="1" s="1"/>
  <c r="M64" i="1"/>
  <c r="N64" i="1" s="1"/>
  <c r="M63" i="1"/>
  <c r="N63" i="1" s="1"/>
  <c r="M62" i="1"/>
  <c r="N62" i="1" s="1"/>
  <c r="M61" i="1"/>
  <c r="N61" i="1" s="1"/>
  <c r="M60" i="1"/>
  <c r="N60" i="1" s="1"/>
  <c r="M59" i="1"/>
  <c r="N59" i="1" s="1"/>
  <c r="M58" i="1"/>
  <c r="N58" i="1" s="1"/>
  <c r="M57" i="1"/>
  <c r="N57" i="1" s="1"/>
  <c r="M56" i="1"/>
  <c r="N56" i="1" s="1"/>
  <c r="M55" i="1"/>
  <c r="N55" i="1" s="1"/>
  <c r="M54" i="1"/>
  <c r="N54" i="1" s="1"/>
  <c r="M53" i="1"/>
  <c r="N53" i="1" s="1"/>
  <c r="M52" i="1"/>
  <c r="N52" i="1" s="1"/>
  <c r="M51" i="1"/>
  <c r="N51" i="1" s="1"/>
  <c r="M50" i="1"/>
  <c r="N50" i="1" s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N42" i="1" s="1"/>
  <c r="M41" i="1"/>
  <c r="N41" i="1" s="1"/>
  <c r="M40" i="1"/>
  <c r="N40" i="1" s="1"/>
  <c r="M39" i="1"/>
  <c r="N39" i="1" s="1"/>
  <c r="M38" i="1"/>
  <c r="N38" i="1" s="1"/>
  <c r="M37" i="1"/>
  <c r="N37" i="1" s="1"/>
  <c r="M36" i="1"/>
  <c r="N36" i="1" s="1"/>
  <c r="M35" i="1"/>
  <c r="N35" i="1" s="1"/>
  <c r="M34" i="1"/>
  <c r="N34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E137" i="1" l="1"/>
  <c r="E133" i="1"/>
  <c r="E129" i="1"/>
  <c r="E125" i="1"/>
  <c r="E121" i="1"/>
  <c r="E117" i="1"/>
  <c r="E113" i="1"/>
  <c r="E110" i="1"/>
  <c r="E109" i="1"/>
  <c r="E6" i="1"/>
  <c r="E5" i="1"/>
  <c r="H111" i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09" i="1"/>
  <c r="H110" i="1" s="1"/>
  <c r="H7" i="1"/>
  <c r="H6" i="1"/>
  <c r="H5" i="1"/>
  <c r="H140" i="1" l="1"/>
  <c r="E139" i="1"/>
  <c r="H8" i="1"/>
  <c r="E7" i="1"/>
  <c r="E114" i="1"/>
  <c r="E118" i="1"/>
  <c r="E122" i="1"/>
  <c r="E126" i="1"/>
  <c r="E130" i="1"/>
  <c r="E134" i="1"/>
  <c r="E138" i="1"/>
  <c r="E111" i="1"/>
  <c r="E115" i="1"/>
  <c r="E119" i="1"/>
  <c r="E123" i="1"/>
  <c r="E127" i="1"/>
  <c r="E131" i="1"/>
  <c r="E135" i="1"/>
  <c r="E112" i="1"/>
  <c r="E116" i="1"/>
  <c r="E120" i="1"/>
  <c r="E124" i="1"/>
  <c r="E128" i="1"/>
  <c r="E132" i="1"/>
  <c r="E136" i="1"/>
  <c r="H9" i="1" l="1"/>
  <c r="E8" i="1"/>
  <c r="H141" i="1"/>
  <c r="E140" i="1"/>
  <c r="H142" i="1" l="1"/>
  <c r="E141" i="1"/>
  <c r="H10" i="1"/>
  <c r="E9" i="1"/>
  <c r="H11" i="1" l="1"/>
  <c r="E10" i="1"/>
  <c r="H143" i="1"/>
  <c r="E142" i="1"/>
  <c r="H144" i="1" l="1"/>
  <c r="E143" i="1"/>
  <c r="H12" i="1"/>
  <c r="E11" i="1"/>
  <c r="H13" i="1" l="1"/>
  <c r="E12" i="1"/>
  <c r="H145" i="1"/>
  <c r="E144" i="1"/>
  <c r="H146" i="1" l="1"/>
  <c r="E145" i="1"/>
  <c r="H14" i="1"/>
  <c r="E13" i="1"/>
  <c r="H15" i="1" l="1"/>
  <c r="E14" i="1"/>
  <c r="H147" i="1"/>
  <c r="E146" i="1"/>
  <c r="H148" i="1" l="1"/>
  <c r="E147" i="1"/>
  <c r="H16" i="1"/>
  <c r="E15" i="1"/>
  <c r="H17" i="1" l="1"/>
  <c r="E16" i="1"/>
  <c r="H149" i="1"/>
  <c r="E148" i="1"/>
  <c r="H150" i="1" l="1"/>
  <c r="E149" i="1"/>
  <c r="H18" i="1"/>
  <c r="E17" i="1"/>
  <c r="H19" i="1" l="1"/>
  <c r="E18" i="1"/>
  <c r="H151" i="1"/>
  <c r="E150" i="1"/>
  <c r="H152" i="1" l="1"/>
  <c r="E151" i="1"/>
  <c r="H20" i="1"/>
  <c r="E19" i="1"/>
  <c r="H21" i="1" l="1"/>
  <c r="E20" i="1"/>
  <c r="H153" i="1"/>
  <c r="E152" i="1"/>
  <c r="H154" i="1" l="1"/>
  <c r="E153" i="1"/>
  <c r="H22" i="1"/>
  <c r="E21" i="1"/>
  <c r="H23" i="1" l="1"/>
  <c r="E22" i="1"/>
  <c r="H155" i="1"/>
  <c r="E154" i="1"/>
  <c r="H156" i="1" l="1"/>
  <c r="E155" i="1"/>
  <c r="H24" i="1"/>
  <c r="E23" i="1"/>
  <c r="H25" i="1" l="1"/>
  <c r="E24" i="1"/>
  <c r="H157" i="1"/>
  <c r="E156" i="1"/>
  <c r="H158" i="1" l="1"/>
  <c r="E157" i="1"/>
  <c r="H26" i="1"/>
  <c r="E25" i="1"/>
  <c r="H27" i="1" l="1"/>
  <c r="E26" i="1"/>
  <c r="H159" i="1"/>
  <c r="E158" i="1"/>
  <c r="H160" i="1" l="1"/>
  <c r="E159" i="1"/>
  <c r="H28" i="1"/>
  <c r="E27" i="1"/>
  <c r="H29" i="1" l="1"/>
  <c r="E28" i="1"/>
  <c r="H161" i="1"/>
  <c r="E160" i="1"/>
  <c r="H162" i="1" l="1"/>
  <c r="E161" i="1"/>
  <c r="H30" i="1"/>
  <c r="E29" i="1"/>
  <c r="H31" i="1" l="1"/>
  <c r="E30" i="1"/>
  <c r="H163" i="1"/>
  <c r="E162" i="1"/>
  <c r="H164" i="1" l="1"/>
  <c r="E163" i="1"/>
  <c r="H32" i="1"/>
  <c r="E31" i="1"/>
  <c r="H33" i="1" l="1"/>
  <c r="E32" i="1"/>
  <c r="H165" i="1"/>
  <c r="E164" i="1"/>
  <c r="H166" i="1" l="1"/>
  <c r="E165" i="1"/>
  <c r="H34" i="1"/>
  <c r="E33" i="1"/>
  <c r="H35" i="1" l="1"/>
  <c r="E34" i="1"/>
  <c r="H167" i="1"/>
  <c r="E166" i="1"/>
  <c r="H168" i="1" l="1"/>
  <c r="E167" i="1"/>
  <c r="H36" i="1"/>
  <c r="E35" i="1"/>
  <c r="H37" i="1" l="1"/>
  <c r="E36" i="1"/>
  <c r="H169" i="1"/>
  <c r="E168" i="1"/>
  <c r="H170" i="1" l="1"/>
  <c r="E169" i="1"/>
  <c r="H38" i="1"/>
  <c r="E37" i="1"/>
  <c r="H39" i="1" l="1"/>
  <c r="E38" i="1"/>
  <c r="H171" i="1"/>
  <c r="E170" i="1"/>
  <c r="H172" i="1" l="1"/>
  <c r="E171" i="1"/>
  <c r="H40" i="1"/>
  <c r="E39" i="1"/>
  <c r="H41" i="1" l="1"/>
  <c r="E40" i="1"/>
  <c r="H173" i="1"/>
  <c r="E172" i="1"/>
  <c r="H174" i="1" l="1"/>
  <c r="E173" i="1"/>
  <c r="H42" i="1"/>
  <c r="E41" i="1"/>
  <c r="H43" i="1" l="1"/>
  <c r="E42" i="1"/>
  <c r="H175" i="1"/>
  <c r="E174" i="1"/>
  <c r="H176" i="1" l="1"/>
  <c r="E175" i="1"/>
  <c r="H44" i="1"/>
  <c r="E43" i="1"/>
  <c r="H45" i="1" l="1"/>
  <c r="E44" i="1"/>
  <c r="H177" i="1"/>
  <c r="E176" i="1"/>
  <c r="H178" i="1" l="1"/>
  <c r="E177" i="1"/>
  <c r="H46" i="1"/>
  <c r="E45" i="1"/>
  <c r="H47" i="1" l="1"/>
  <c r="E46" i="1"/>
  <c r="H179" i="1"/>
  <c r="E178" i="1"/>
  <c r="H180" i="1" l="1"/>
  <c r="E179" i="1"/>
  <c r="H48" i="1"/>
  <c r="E47" i="1"/>
  <c r="H49" i="1" l="1"/>
  <c r="E48" i="1"/>
  <c r="H181" i="1"/>
  <c r="E180" i="1"/>
  <c r="H182" i="1" l="1"/>
  <c r="E181" i="1"/>
  <c r="H50" i="1"/>
  <c r="E49" i="1"/>
  <c r="H51" i="1" l="1"/>
  <c r="E50" i="1"/>
  <c r="H183" i="1"/>
  <c r="E182" i="1"/>
  <c r="H184" i="1" l="1"/>
  <c r="E183" i="1"/>
  <c r="H52" i="1"/>
  <c r="E51" i="1"/>
  <c r="H53" i="1" l="1"/>
  <c r="E52" i="1"/>
  <c r="H185" i="1"/>
  <c r="E184" i="1"/>
  <c r="H186" i="1" l="1"/>
  <c r="E185" i="1"/>
  <c r="H54" i="1"/>
  <c r="E53" i="1"/>
  <c r="H55" i="1" l="1"/>
  <c r="E54" i="1"/>
  <c r="H187" i="1"/>
  <c r="E186" i="1"/>
  <c r="H188" i="1" l="1"/>
  <c r="E187" i="1"/>
  <c r="H56" i="1"/>
  <c r="E55" i="1"/>
  <c r="H57" i="1" l="1"/>
  <c r="E56" i="1"/>
  <c r="H189" i="1"/>
  <c r="E188" i="1"/>
  <c r="H190" i="1" l="1"/>
  <c r="E189" i="1"/>
  <c r="H58" i="1"/>
  <c r="E57" i="1"/>
  <c r="H59" i="1" l="1"/>
  <c r="E58" i="1"/>
  <c r="H191" i="1"/>
  <c r="E190" i="1"/>
  <c r="H192" i="1" l="1"/>
  <c r="E191" i="1"/>
  <c r="H60" i="1"/>
  <c r="E59" i="1"/>
  <c r="H61" i="1" l="1"/>
  <c r="E60" i="1"/>
  <c r="H193" i="1"/>
  <c r="E192" i="1"/>
  <c r="H194" i="1" l="1"/>
  <c r="E193" i="1"/>
  <c r="H62" i="1"/>
  <c r="E61" i="1"/>
  <c r="H63" i="1" l="1"/>
  <c r="E62" i="1"/>
  <c r="H195" i="1"/>
  <c r="E194" i="1"/>
  <c r="H196" i="1" l="1"/>
  <c r="E195" i="1"/>
  <c r="H64" i="1"/>
  <c r="E63" i="1"/>
  <c r="H65" i="1" l="1"/>
  <c r="E64" i="1"/>
  <c r="H197" i="1"/>
  <c r="E196" i="1"/>
  <c r="H198" i="1" l="1"/>
  <c r="E197" i="1"/>
  <c r="H66" i="1"/>
  <c r="E65" i="1"/>
  <c r="H67" i="1" l="1"/>
  <c r="E66" i="1"/>
  <c r="H199" i="1"/>
  <c r="E198" i="1"/>
  <c r="H200" i="1" l="1"/>
  <c r="E199" i="1"/>
  <c r="H68" i="1"/>
  <c r="E67" i="1"/>
  <c r="H69" i="1" l="1"/>
  <c r="E68" i="1"/>
  <c r="H201" i="1"/>
  <c r="E200" i="1"/>
  <c r="H202" i="1" l="1"/>
  <c r="E201" i="1"/>
  <c r="H70" i="1"/>
  <c r="E69" i="1"/>
  <c r="H71" i="1" l="1"/>
  <c r="E70" i="1"/>
  <c r="H203" i="1"/>
  <c r="E202" i="1"/>
  <c r="H204" i="1" l="1"/>
  <c r="E203" i="1"/>
  <c r="H72" i="1"/>
  <c r="E71" i="1"/>
  <c r="H73" i="1" l="1"/>
  <c r="E72" i="1"/>
  <c r="H205" i="1"/>
  <c r="E204" i="1"/>
  <c r="H206" i="1" l="1"/>
  <c r="E205" i="1"/>
  <c r="H74" i="1"/>
  <c r="E73" i="1"/>
  <c r="H75" i="1" l="1"/>
  <c r="E74" i="1"/>
  <c r="H207" i="1"/>
  <c r="E206" i="1"/>
  <c r="H208" i="1" l="1"/>
  <c r="E207" i="1"/>
  <c r="H76" i="1"/>
  <c r="E75" i="1"/>
  <c r="H77" i="1" l="1"/>
  <c r="E76" i="1"/>
  <c r="H209" i="1"/>
  <c r="E208" i="1"/>
  <c r="H210" i="1" l="1"/>
  <c r="E209" i="1"/>
  <c r="H78" i="1"/>
  <c r="E77" i="1"/>
  <c r="H79" i="1" l="1"/>
  <c r="E78" i="1"/>
  <c r="H211" i="1"/>
  <c r="E210" i="1"/>
  <c r="H212" i="1" l="1"/>
  <c r="E212" i="1" s="1"/>
  <c r="E211" i="1"/>
  <c r="H80" i="1"/>
  <c r="E79" i="1"/>
  <c r="H81" i="1" l="1"/>
  <c r="E80" i="1"/>
  <c r="H82" i="1" l="1"/>
  <c r="E81" i="1"/>
  <c r="H83" i="1" l="1"/>
  <c r="E82" i="1"/>
  <c r="H84" i="1" l="1"/>
  <c r="E83" i="1"/>
  <c r="H85" i="1" l="1"/>
  <c r="E84" i="1"/>
  <c r="H86" i="1" l="1"/>
  <c r="E85" i="1"/>
  <c r="H87" i="1" l="1"/>
  <c r="E86" i="1"/>
  <c r="H88" i="1" l="1"/>
  <c r="E87" i="1"/>
  <c r="H89" i="1" l="1"/>
  <c r="E88" i="1"/>
  <c r="H90" i="1" l="1"/>
  <c r="E89" i="1"/>
  <c r="H91" i="1" l="1"/>
  <c r="E90" i="1"/>
  <c r="H92" i="1" l="1"/>
  <c r="E91" i="1"/>
  <c r="H93" i="1" l="1"/>
  <c r="E92" i="1"/>
  <c r="H94" i="1" l="1"/>
  <c r="E93" i="1"/>
  <c r="H95" i="1" l="1"/>
  <c r="E94" i="1"/>
  <c r="H96" i="1" l="1"/>
  <c r="E95" i="1"/>
  <c r="H97" i="1" l="1"/>
  <c r="E96" i="1"/>
  <c r="H98" i="1" l="1"/>
  <c r="E97" i="1"/>
  <c r="H99" i="1" l="1"/>
  <c r="E98" i="1"/>
  <c r="H100" i="1" l="1"/>
  <c r="E99" i="1"/>
  <c r="H101" i="1" l="1"/>
  <c r="E100" i="1"/>
  <c r="H102" i="1" l="1"/>
  <c r="E101" i="1"/>
  <c r="H103" i="1" l="1"/>
  <c r="E102" i="1"/>
  <c r="H104" i="1" l="1"/>
  <c r="E103" i="1"/>
  <c r="H105" i="1" l="1"/>
  <c r="E104" i="1"/>
  <c r="H106" i="1" l="1"/>
  <c r="E105" i="1"/>
  <c r="H107" i="1" l="1"/>
  <c r="E106" i="1"/>
  <c r="E107" i="1" l="1"/>
  <c r="H108" i="1"/>
  <c r="E108" i="1" s="1"/>
</calcChain>
</file>

<file path=xl/sharedStrings.xml><?xml version="1.0" encoding="utf-8"?>
<sst xmlns="http://schemas.openxmlformats.org/spreadsheetml/2006/main" count="441" uniqueCount="27">
  <si>
    <t>gid</t>
  </si>
  <si>
    <t>pid</t>
  </si>
  <si>
    <t>tid</t>
  </si>
  <si>
    <t>y</t>
  </si>
  <si>
    <t>price</t>
  </si>
  <si>
    <t>TV</t>
  </si>
  <si>
    <t>North</t>
  </si>
  <si>
    <t>mousetrap</t>
  </si>
  <si>
    <t>South</t>
  </si>
  <si>
    <t>-</t>
  </si>
  <si>
    <t>+</t>
  </si>
  <si>
    <t>place</t>
  </si>
  <si>
    <t>product</t>
  </si>
  <si>
    <t>week</t>
  </si>
  <si>
    <t>dependent</t>
  </si>
  <si>
    <t>marketing</t>
  </si>
  <si>
    <t>log</t>
  </si>
  <si>
    <t>logmc</t>
  </si>
  <si>
    <t>retain:0.5</t>
  </si>
  <si>
    <t>Adstock (this column removed for csv file)</t>
  </si>
  <si>
    <t>This column removed for csv</t>
  </si>
  <si>
    <t>Roll: gid, pid, tid, dependent are reserved</t>
  </si>
  <si>
    <t>transformation: log, logmc, retain:&lt;retain amt&gt;</t>
  </si>
  <si>
    <t>expected sign</t>
  </si>
  <si>
    <t>log y</t>
  </si>
  <si>
    <t>mean log y</t>
  </si>
  <si>
    <t>log y -mean log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</si>
</sst>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0F50-471E-417F-9EB4-10FF26C6D164}">
  <dimension ref="A1:N212"/>
  <sheetViews>
    <sheetView tabSelected="1" workbookViewId="0">
      <selection activeCell="M5" sqref="M5"/>
    </sheetView>
  </sheetViews>
  <sheetFormatPr defaultRowHeight="14.4" x14ac:dyDescent="0.55000000000000004"/>
  <cols>
    <col min="1" max="1" width="23.41796875" bestFit="1" customWidth="1"/>
  </cols>
  <sheetData>
    <row r="1" spans="1:14" x14ac:dyDescent="0.55000000000000004">
      <c r="A1" t="s">
        <v>20</v>
      </c>
      <c r="B1" t="s">
        <v>11</v>
      </c>
      <c r="C1" t="s">
        <v>12</v>
      </c>
      <c r="D1" t="s">
        <v>13</v>
      </c>
      <c r="E1" t="s">
        <v>3</v>
      </c>
      <c r="F1" t="s">
        <v>4</v>
      </c>
      <c r="G1" t="s">
        <v>5</v>
      </c>
      <c r="H1" t="s">
        <v>19</v>
      </c>
    </row>
    <row r="2" spans="1:14" x14ac:dyDescent="0.55000000000000004">
      <c r="A2" t="s">
        <v>21</v>
      </c>
      <c r="B2" t="s">
        <v>0</v>
      </c>
      <c r="C2" t="s">
        <v>1</v>
      </c>
      <c r="D2" t="s">
        <v>2</v>
      </c>
      <c r="E2" t="s">
        <v>14</v>
      </c>
      <c r="F2" t="s">
        <v>4</v>
      </c>
      <c r="G2" t="s">
        <v>15</v>
      </c>
    </row>
    <row r="3" spans="1:14" x14ac:dyDescent="0.55000000000000004">
      <c r="A3" t="s">
        <v>22</v>
      </c>
      <c r="E3" t="s">
        <v>16</v>
      </c>
      <c r="F3" t="s">
        <v>17</v>
      </c>
      <c r="G3" t="s">
        <v>18</v>
      </c>
    </row>
    <row r="4" spans="1:14" x14ac:dyDescent="0.55000000000000004">
      <c r="A4" t="s">
        <v>23</v>
      </c>
      <c r="F4" t="s">
        <v>9</v>
      </c>
      <c r="G4" t="s">
        <v>10</v>
      </c>
      <c r="L4" t="s">
        <v>24</v>
      </c>
      <c r="M4" t="s">
        <v>25</v>
      </c>
      <c r="N4" t="s">
        <v>26</v>
      </c>
    </row>
    <row r="5" spans="1:14" x14ac:dyDescent="0.55000000000000004">
      <c r="B5" t="s">
        <v>6</v>
      </c>
      <c r="C5" t="s">
        <v>7</v>
      </c>
      <c r="D5">
        <v>1</v>
      </c>
      <c r="E5">
        <f t="shared" ref="E5:E36" si="0">EXP(2-1.2*(LN(F5)-LN(AVERAGE(F:F)))+0.02*H5)</f>
        <v>10.240192912859774</v>
      </c>
      <c r="F5">
        <v>10</v>
      </c>
      <c r="G5">
        <v>0</v>
      </c>
      <c r="H5">
        <f>G5</f>
        <v>0</v>
      </c>
      <c r="L5">
        <f>LN(E5)</f>
        <v>2.3263204585803696</v>
      </c>
      <c r="M5">
        <f>AVERAGE($L$5:$L$108)</f>
        <v>3.0950151319812993</v>
      </c>
      <c r="N5">
        <f>L5-M5</f>
        <v>-0.76869467340092967</v>
      </c>
    </row>
    <row r="6" spans="1:14" x14ac:dyDescent="0.55000000000000004">
      <c r="B6" t="s">
        <v>6</v>
      </c>
      <c r="C6" t="s">
        <v>7</v>
      </c>
      <c r="D6">
        <v>2</v>
      </c>
      <c r="E6">
        <f t="shared" si="0"/>
        <v>10.240192912859774</v>
      </c>
      <c r="F6">
        <v>10</v>
      </c>
      <c r="G6">
        <v>0</v>
      </c>
      <c r="H6">
        <f>IF(H5*0.5&gt;1,G6+H5*0.5,G6)</f>
        <v>0</v>
      </c>
      <c r="L6">
        <f t="shared" ref="L6:L69" si="1">LN(E6)</f>
        <v>2.3263204585803696</v>
      </c>
      <c r="M6">
        <f t="shared" ref="M6:M69" si="2">AVERAGE($L$5:$L$108)</f>
        <v>3.0950151319812993</v>
      </c>
      <c r="N6">
        <f t="shared" ref="N6:N69" si="3">L6-M6</f>
        <v>-0.76869467340092967</v>
      </c>
    </row>
    <row r="7" spans="1:14" x14ac:dyDescent="0.55000000000000004">
      <c r="B7" t="s">
        <v>6</v>
      </c>
      <c r="C7" t="s">
        <v>7</v>
      </c>
      <c r="D7">
        <v>3</v>
      </c>
      <c r="E7">
        <f t="shared" si="0"/>
        <v>10.240192912859774</v>
      </c>
      <c r="F7">
        <v>10</v>
      </c>
      <c r="G7">
        <v>0</v>
      </c>
      <c r="H7">
        <f t="shared" ref="H7:H70" si="4">IF(H6*0.5&gt;1,G7+H6*0.5,G7)</f>
        <v>0</v>
      </c>
      <c r="L7">
        <f t="shared" si="1"/>
        <v>2.3263204585803696</v>
      </c>
      <c r="M7">
        <f t="shared" si="2"/>
        <v>3.0950151319812993</v>
      </c>
      <c r="N7">
        <f t="shared" si="3"/>
        <v>-0.76869467340092967</v>
      </c>
    </row>
    <row r="8" spans="1:14" x14ac:dyDescent="0.55000000000000004">
      <c r="B8" t="s">
        <v>6</v>
      </c>
      <c r="C8" t="s">
        <v>7</v>
      </c>
      <c r="D8">
        <v>4</v>
      </c>
      <c r="E8">
        <f t="shared" si="0"/>
        <v>10.240192912859774</v>
      </c>
      <c r="F8">
        <v>10</v>
      </c>
      <c r="G8">
        <v>0</v>
      </c>
      <c r="H8">
        <f t="shared" si="4"/>
        <v>0</v>
      </c>
      <c r="L8">
        <f t="shared" si="1"/>
        <v>2.3263204585803696</v>
      </c>
      <c r="M8">
        <f t="shared" si="2"/>
        <v>3.0950151319812993</v>
      </c>
      <c r="N8">
        <f t="shared" si="3"/>
        <v>-0.76869467340092967</v>
      </c>
    </row>
    <row r="9" spans="1:14" x14ac:dyDescent="0.55000000000000004">
      <c r="B9" t="s">
        <v>6</v>
      </c>
      <c r="C9" t="s">
        <v>7</v>
      </c>
      <c r="D9">
        <v>5</v>
      </c>
      <c r="E9">
        <f t="shared" si="0"/>
        <v>10.240192912859774</v>
      </c>
      <c r="F9">
        <v>10</v>
      </c>
      <c r="G9">
        <v>0</v>
      </c>
      <c r="H9">
        <f t="shared" si="4"/>
        <v>0</v>
      </c>
      <c r="L9">
        <f t="shared" si="1"/>
        <v>2.3263204585803696</v>
      </c>
      <c r="M9">
        <f t="shared" si="2"/>
        <v>3.0950151319812993</v>
      </c>
      <c r="N9">
        <f t="shared" si="3"/>
        <v>-0.76869467340092967</v>
      </c>
    </row>
    <row r="10" spans="1:14" x14ac:dyDescent="0.55000000000000004">
      <c r="B10" t="s">
        <v>6</v>
      </c>
      <c r="C10" t="s">
        <v>7</v>
      </c>
      <c r="D10">
        <v>6</v>
      </c>
      <c r="E10">
        <f t="shared" si="0"/>
        <v>10.240192912859774</v>
      </c>
      <c r="F10">
        <v>10</v>
      </c>
      <c r="G10">
        <v>0</v>
      </c>
      <c r="H10">
        <f t="shared" si="4"/>
        <v>0</v>
      </c>
      <c r="L10">
        <f t="shared" si="1"/>
        <v>2.3263204585803696</v>
      </c>
      <c r="M10">
        <f t="shared" si="2"/>
        <v>3.0950151319812993</v>
      </c>
      <c r="N10">
        <f t="shared" si="3"/>
        <v>-0.76869467340092967</v>
      </c>
    </row>
    <row r="11" spans="1:14" x14ac:dyDescent="0.55000000000000004">
      <c r="B11" t="s">
        <v>6</v>
      </c>
      <c r="C11" t="s">
        <v>7</v>
      </c>
      <c r="D11">
        <v>7</v>
      </c>
      <c r="E11">
        <f t="shared" si="0"/>
        <v>10.240192912859774</v>
      </c>
      <c r="F11">
        <v>10</v>
      </c>
      <c r="G11">
        <v>0</v>
      </c>
      <c r="H11">
        <f t="shared" si="4"/>
        <v>0</v>
      </c>
      <c r="L11">
        <f t="shared" si="1"/>
        <v>2.3263204585803696</v>
      </c>
      <c r="M11">
        <f t="shared" si="2"/>
        <v>3.0950151319812993</v>
      </c>
      <c r="N11">
        <f t="shared" si="3"/>
        <v>-0.76869467340092967</v>
      </c>
    </row>
    <row r="12" spans="1:14" x14ac:dyDescent="0.55000000000000004">
      <c r="B12" t="s">
        <v>6</v>
      </c>
      <c r="C12" t="s">
        <v>7</v>
      </c>
      <c r="D12">
        <v>8</v>
      </c>
      <c r="E12">
        <f t="shared" si="0"/>
        <v>10.240192912859774</v>
      </c>
      <c r="F12">
        <v>10</v>
      </c>
      <c r="G12">
        <v>0</v>
      </c>
      <c r="H12">
        <f t="shared" si="4"/>
        <v>0</v>
      </c>
      <c r="L12">
        <f t="shared" si="1"/>
        <v>2.3263204585803696</v>
      </c>
      <c r="M12">
        <f t="shared" si="2"/>
        <v>3.0950151319812993</v>
      </c>
      <c r="N12">
        <f t="shared" si="3"/>
        <v>-0.76869467340092967</v>
      </c>
    </row>
    <row r="13" spans="1:14" x14ac:dyDescent="0.55000000000000004">
      <c r="B13" t="s">
        <v>6</v>
      </c>
      <c r="C13" t="s">
        <v>7</v>
      </c>
      <c r="D13">
        <v>9</v>
      </c>
      <c r="E13">
        <f t="shared" si="0"/>
        <v>10.240192912859774</v>
      </c>
      <c r="F13">
        <v>10</v>
      </c>
      <c r="G13">
        <v>0</v>
      </c>
      <c r="H13">
        <f t="shared" si="4"/>
        <v>0</v>
      </c>
      <c r="L13">
        <f t="shared" si="1"/>
        <v>2.3263204585803696</v>
      </c>
      <c r="M13">
        <f t="shared" si="2"/>
        <v>3.0950151319812993</v>
      </c>
      <c r="N13">
        <f t="shared" si="3"/>
        <v>-0.76869467340092967</v>
      </c>
    </row>
    <row r="14" spans="1:14" x14ac:dyDescent="0.55000000000000004">
      <c r="B14" t="s">
        <v>6</v>
      </c>
      <c r="C14" t="s">
        <v>7</v>
      </c>
      <c r="D14">
        <v>10</v>
      </c>
      <c r="E14">
        <f t="shared" si="0"/>
        <v>10.240192912859774</v>
      </c>
      <c r="F14">
        <v>10</v>
      </c>
      <c r="G14">
        <v>0</v>
      </c>
      <c r="H14">
        <f t="shared" si="4"/>
        <v>0</v>
      </c>
      <c r="L14">
        <f t="shared" si="1"/>
        <v>2.3263204585803696</v>
      </c>
      <c r="M14">
        <f t="shared" si="2"/>
        <v>3.0950151319812993</v>
      </c>
      <c r="N14">
        <f t="shared" si="3"/>
        <v>-0.76869467340092967</v>
      </c>
    </row>
    <row r="15" spans="1:14" x14ac:dyDescent="0.55000000000000004">
      <c r="B15" t="s">
        <v>6</v>
      </c>
      <c r="C15" t="s">
        <v>7</v>
      </c>
      <c r="D15">
        <v>11</v>
      </c>
      <c r="E15">
        <f t="shared" si="0"/>
        <v>10.240192912859774</v>
      </c>
      <c r="F15">
        <v>10</v>
      </c>
      <c r="G15">
        <v>0</v>
      </c>
      <c r="H15">
        <f t="shared" si="4"/>
        <v>0</v>
      </c>
      <c r="L15">
        <f t="shared" si="1"/>
        <v>2.3263204585803696</v>
      </c>
      <c r="M15">
        <f t="shared" si="2"/>
        <v>3.0950151319812993</v>
      </c>
      <c r="N15">
        <f t="shared" si="3"/>
        <v>-0.76869467340092967</v>
      </c>
    </row>
    <row r="16" spans="1:14" x14ac:dyDescent="0.55000000000000004">
      <c r="B16" t="s">
        <v>6</v>
      </c>
      <c r="C16" t="s">
        <v>7</v>
      </c>
      <c r="D16">
        <v>12</v>
      </c>
      <c r="E16">
        <f t="shared" si="0"/>
        <v>10.240192912859774</v>
      </c>
      <c r="F16">
        <v>10</v>
      </c>
      <c r="G16">
        <v>0</v>
      </c>
      <c r="H16">
        <f t="shared" si="4"/>
        <v>0</v>
      </c>
      <c r="L16">
        <f t="shared" si="1"/>
        <v>2.3263204585803696</v>
      </c>
      <c r="M16">
        <f t="shared" si="2"/>
        <v>3.0950151319812993</v>
      </c>
      <c r="N16">
        <f t="shared" si="3"/>
        <v>-0.76869467340092967</v>
      </c>
    </row>
    <row r="17" spans="2:14" x14ac:dyDescent="0.55000000000000004">
      <c r="B17" t="s">
        <v>6</v>
      </c>
      <c r="C17" t="s">
        <v>7</v>
      </c>
      <c r="D17">
        <v>13</v>
      </c>
      <c r="E17">
        <f t="shared" si="0"/>
        <v>10.240192912859774</v>
      </c>
      <c r="F17">
        <v>10</v>
      </c>
      <c r="G17">
        <v>0</v>
      </c>
      <c r="H17">
        <f t="shared" si="4"/>
        <v>0</v>
      </c>
      <c r="L17">
        <f t="shared" si="1"/>
        <v>2.3263204585803696</v>
      </c>
      <c r="M17">
        <f t="shared" si="2"/>
        <v>3.0950151319812993</v>
      </c>
      <c r="N17">
        <f t="shared" si="3"/>
        <v>-0.76869467340092967</v>
      </c>
    </row>
    <row r="18" spans="2:14" x14ac:dyDescent="0.55000000000000004">
      <c r="B18" t="s">
        <v>6</v>
      </c>
      <c r="C18" t="s">
        <v>7</v>
      </c>
      <c r="D18">
        <v>14</v>
      </c>
      <c r="E18">
        <f t="shared" si="0"/>
        <v>75.665359896992911</v>
      </c>
      <c r="F18">
        <v>10</v>
      </c>
      <c r="G18">
        <v>100</v>
      </c>
      <c r="H18">
        <f t="shared" si="4"/>
        <v>100</v>
      </c>
      <c r="L18">
        <f t="shared" si="1"/>
        <v>4.3263204585803692</v>
      </c>
      <c r="M18">
        <f t="shared" si="2"/>
        <v>3.0950151319812993</v>
      </c>
      <c r="N18">
        <f t="shared" si="3"/>
        <v>1.2313053265990699</v>
      </c>
    </row>
    <row r="19" spans="2:14" x14ac:dyDescent="0.55000000000000004">
      <c r="B19" t="s">
        <v>6</v>
      </c>
      <c r="C19" t="s">
        <v>7</v>
      </c>
      <c r="D19">
        <v>15</v>
      </c>
      <c r="E19">
        <f t="shared" si="0"/>
        <v>205.67977285180959</v>
      </c>
      <c r="F19">
        <v>10</v>
      </c>
      <c r="G19">
        <v>100</v>
      </c>
      <c r="H19">
        <f t="shared" si="4"/>
        <v>150</v>
      </c>
      <c r="L19">
        <f t="shared" si="1"/>
        <v>5.3263204585803692</v>
      </c>
      <c r="M19">
        <f t="shared" si="2"/>
        <v>3.0950151319812993</v>
      </c>
      <c r="N19">
        <f t="shared" si="3"/>
        <v>2.2313053265990699</v>
      </c>
    </row>
    <row r="20" spans="2:14" x14ac:dyDescent="0.55000000000000004">
      <c r="B20" t="s">
        <v>6</v>
      </c>
      <c r="C20" t="s">
        <v>7</v>
      </c>
      <c r="D20">
        <v>16</v>
      </c>
      <c r="E20">
        <f t="shared" si="0"/>
        <v>339.10861645354925</v>
      </c>
      <c r="F20">
        <v>10</v>
      </c>
      <c r="G20">
        <v>100</v>
      </c>
      <c r="H20">
        <f t="shared" si="4"/>
        <v>175</v>
      </c>
      <c r="L20">
        <f t="shared" si="1"/>
        <v>5.8263204585803692</v>
      </c>
      <c r="M20">
        <f t="shared" si="2"/>
        <v>3.0950151319812993</v>
      </c>
      <c r="N20">
        <f t="shared" si="3"/>
        <v>2.7313053265990699</v>
      </c>
    </row>
    <row r="21" spans="2:14" x14ac:dyDescent="0.55000000000000004">
      <c r="B21" t="s">
        <v>6</v>
      </c>
      <c r="C21" t="s">
        <v>7</v>
      </c>
      <c r="D21">
        <v>17</v>
      </c>
      <c r="E21">
        <f t="shared" si="0"/>
        <v>58.928241539157753</v>
      </c>
      <c r="F21">
        <v>10</v>
      </c>
      <c r="G21">
        <v>0</v>
      </c>
      <c r="H21">
        <f t="shared" si="4"/>
        <v>87.5</v>
      </c>
      <c r="L21">
        <f t="shared" si="1"/>
        <v>4.0763204585803692</v>
      </c>
      <c r="M21">
        <f t="shared" si="2"/>
        <v>3.0950151319812993</v>
      </c>
      <c r="N21">
        <f t="shared" si="3"/>
        <v>0.98130532659906988</v>
      </c>
    </row>
    <row r="22" spans="2:14" x14ac:dyDescent="0.55000000000000004">
      <c r="B22" t="s">
        <v>6</v>
      </c>
      <c r="C22" t="s">
        <v>7</v>
      </c>
      <c r="D22">
        <v>18</v>
      </c>
      <c r="E22">
        <f t="shared" si="0"/>
        <v>24.564945784116286</v>
      </c>
      <c r="F22">
        <v>10</v>
      </c>
      <c r="G22">
        <v>0</v>
      </c>
      <c r="H22">
        <f t="shared" si="4"/>
        <v>43.75</v>
      </c>
      <c r="L22">
        <f t="shared" si="1"/>
        <v>3.2013204585803696</v>
      </c>
      <c r="M22">
        <f t="shared" si="2"/>
        <v>3.0950151319812993</v>
      </c>
      <c r="N22">
        <f t="shared" si="3"/>
        <v>0.10630532659907033</v>
      </c>
    </row>
    <row r="23" spans="2:14" x14ac:dyDescent="0.55000000000000004">
      <c r="B23" t="s">
        <v>6</v>
      </c>
      <c r="C23" t="s">
        <v>7</v>
      </c>
      <c r="D23">
        <v>19</v>
      </c>
      <c r="E23">
        <f t="shared" si="0"/>
        <v>117.19280196551868</v>
      </c>
      <c r="F23">
        <v>10</v>
      </c>
      <c r="G23">
        <v>100</v>
      </c>
      <c r="H23">
        <f t="shared" si="4"/>
        <v>121.875</v>
      </c>
      <c r="L23">
        <f t="shared" si="1"/>
        <v>4.7638204585803692</v>
      </c>
      <c r="M23">
        <f t="shared" si="2"/>
        <v>3.0950151319812993</v>
      </c>
      <c r="N23">
        <f t="shared" si="3"/>
        <v>1.6688053265990699</v>
      </c>
    </row>
    <row r="24" spans="2:14" x14ac:dyDescent="0.55000000000000004">
      <c r="B24" t="s">
        <v>6</v>
      </c>
      <c r="C24" t="s">
        <v>7</v>
      </c>
      <c r="D24">
        <v>20</v>
      </c>
      <c r="E24">
        <f t="shared" si="0"/>
        <v>255.97261307484004</v>
      </c>
      <c r="F24">
        <v>10</v>
      </c>
      <c r="G24">
        <v>100</v>
      </c>
      <c r="H24">
        <f t="shared" si="4"/>
        <v>160.9375</v>
      </c>
      <c r="L24">
        <f t="shared" si="1"/>
        <v>5.5450704585803692</v>
      </c>
      <c r="M24">
        <f t="shared" si="2"/>
        <v>3.0950151319812993</v>
      </c>
      <c r="N24">
        <f t="shared" si="3"/>
        <v>2.4500553265990699</v>
      </c>
    </row>
    <row r="25" spans="2:14" x14ac:dyDescent="0.55000000000000004">
      <c r="B25" t="s">
        <v>6</v>
      </c>
      <c r="C25" t="s">
        <v>7</v>
      </c>
      <c r="D25">
        <v>21</v>
      </c>
      <c r="E25">
        <f t="shared" si="0"/>
        <v>378.30299877381174</v>
      </c>
      <c r="F25">
        <v>10</v>
      </c>
      <c r="G25">
        <v>100</v>
      </c>
      <c r="H25">
        <f t="shared" si="4"/>
        <v>180.46875</v>
      </c>
      <c r="L25">
        <f t="shared" si="1"/>
        <v>5.9356954585803692</v>
      </c>
      <c r="M25">
        <f t="shared" si="2"/>
        <v>3.0950151319812993</v>
      </c>
      <c r="N25">
        <f t="shared" si="3"/>
        <v>2.8406803265990699</v>
      </c>
    </row>
    <row r="26" spans="2:14" x14ac:dyDescent="0.55000000000000004">
      <c r="B26" t="s">
        <v>6</v>
      </c>
      <c r="C26" t="s">
        <v>7</v>
      </c>
      <c r="D26">
        <v>22</v>
      </c>
      <c r="E26">
        <f t="shared" si="0"/>
        <v>62.240627302086097</v>
      </c>
      <c r="F26">
        <v>10</v>
      </c>
      <c r="G26">
        <v>0</v>
      </c>
      <c r="H26">
        <f t="shared" si="4"/>
        <v>90.234375</v>
      </c>
      <c r="L26">
        <f t="shared" si="1"/>
        <v>4.1310079585803692</v>
      </c>
      <c r="M26">
        <f t="shared" si="2"/>
        <v>3.0950151319812993</v>
      </c>
      <c r="N26">
        <f t="shared" si="3"/>
        <v>1.0359928265990699</v>
      </c>
    </row>
    <row r="27" spans="2:14" x14ac:dyDescent="0.55000000000000004">
      <c r="B27" t="s">
        <v>6</v>
      </c>
      <c r="C27" t="s">
        <v>7</v>
      </c>
      <c r="D27">
        <v>23</v>
      </c>
      <c r="E27">
        <f t="shared" si="0"/>
        <v>25.245911165786211</v>
      </c>
      <c r="F27">
        <v>10</v>
      </c>
      <c r="G27">
        <v>0</v>
      </c>
      <c r="H27">
        <f t="shared" si="4"/>
        <v>45.1171875</v>
      </c>
      <c r="L27">
        <f t="shared" si="1"/>
        <v>3.2286642085803696</v>
      </c>
      <c r="M27">
        <f t="shared" si="2"/>
        <v>3.0950151319812993</v>
      </c>
      <c r="N27">
        <f t="shared" si="3"/>
        <v>0.13364907659907033</v>
      </c>
    </row>
    <row r="28" spans="2:14" x14ac:dyDescent="0.55000000000000004">
      <c r="B28" t="s">
        <v>6</v>
      </c>
      <c r="C28" t="s">
        <v>7</v>
      </c>
      <c r="D28">
        <v>24</v>
      </c>
      <c r="E28">
        <f t="shared" si="0"/>
        <v>118.8060502402947</v>
      </c>
      <c r="F28">
        <v>10</v>
      </c>
      <c r="G28">
        <v>100</v>
      </c>
      <c r="H28">
        <f t="shared" si="4"/>
        <v>122.55859375</v>
      </c>
      <c r="L28">
        <f t="shared" si="1"/>
        <v>4.7774923335803692</v>
      </c>
      <c r="M28">
        <f t="shared" si="2"/>
        <v>3.0950151319812993</v>
      </c>
      <c r="N28">
        <f t="shared" si="3"/>
        <v>1.6824772015990699</v>
      </c>
    </row>
    <row r="29" spans="2:14" x14ac:dyDescent="0.55000000000000004">
      <c r="B29" t="s">
        <v>6</v>
      </c>
      <c r="C29" t="s">
        <v>7</v>
      </c>
      <c r="D29">
        <v>25</v>
      </c>
      <c r="E29">
        <f t="shared" si="0"/>
        <v>257.72842031640727</v>
      </c>
      <c r="F29">
        <v>10</v>
      </c>
      <c r="G29">
        <v>100</v>
      </c>
      <c r="H29">
        <f t="shared" si="4"/>
        <v>161.279296875</v>
      </c>
      <c r="L29">
        <f t="shared" si="1"/>
        <v>5.5519063960803692</v>
      </c>
      <c r="M29">
        <f t="shared" si="2"/>
        <v>3.0950151319812993</v>
      </c>
      <c r="N29">
        <f t="shared" si="3"/>
        <v>2.4568912640990699</v>
      </c>
    </row>
    <row r="30" spans="2:14" x14ac:dyDescent="0.55000000000000004">
      <c r="B30" t="s">
        <v>6</v>
      </c>
      <c r="C30" t="s">
        <v>7</v>
      </c>
      <c r="D30">
        <v>26</v>
      </c>
      <c r="E30">
        <f t="shared" si="0"/>
        <v>379.59823888579405</v>
      </c>
      <c r="F30">
        <v>10</v>
      </c>
      <c r="G30">
        <v>100</v>
      </c>
      <c r="H30">
        <f t="shared" si="4"/>
        <v>180.6396484375</v>
      </c>
      <c r="L30">
        <f t="shared" si="1"/>
        <v>5.9391134273303692</v>
      </c>
      <c r="M30">
        <f t="shared" si="2"/>
        <v>3.0950151319812993</v>
      </c>
      <c r="N30">
        <f t="shared" si="3"/>
        <v>2.8440982953490699</v>
      </c>
    </row>
    <row r="31" spans="2:14" x14ac:dyDescent="0.55000000000000004">
      <c r="B31" t="s">
        <v>6</v>
      </c>
      <c r="C31" t="s">
        <v>7</v>
      </c>
      <c r="D31">
        <v>27</v>
      </c>
      <c r="E31">
        <f t="shared" si="0"/>
        <v>62.347086504281485</v>
      </c>
      <c r="F31">
        <v>10</v>
      </c>
      <c r="G31">
        <v>0</v>
      </c>
      <c r="H31">
        <f t="shared" si="4"/>
        <v>90.31982421875</v>
      </c>
      <c r="L31">
        <f t="shared" si="1"/>
        <v>4.1327169429553692</v>
      </c>
      <c r="M31">
        <f t="shared" si="2"/>
        <v>3.0950151319812993</v>
      </c>
      <c r="N31">
        <f t="shared" si="3"/>
        <v>1.0377018109740699</v>
      </c>
    </row>
    <row r="32" spans="2:14" x14ac:dyDescent="0.55000000000000004">
      <c r="B32" t="s">
        <v>6</v>
      </c>
      <c r="C32" t="s">
        <v>7</v>
      </c>
      <c r="D32">
        <v>28</v>
      </c>
      <c r="E32">
        <f t="shared" si="0"/>
        <v>25.267492819007565</v>
      </c>
      <c r="F32">
        <v>10</v>
      </c>
      <c r="G32">
        <v>0</v>
      </c>
      <c r="H32">
        <f t="shared" si="4"/>
        <v>45.159912109375</v>
      </c>
      <c r="L32">
        <f t="shared" si="1"/>
        <v>3.2295187007678696</v>
      </c>
      <c r="M32">
        <f t="shared" si="2"/>
        <v>3.0950151319812993</v>
      </c>
      <c r="N32">
        <f t="shared" si="3"/>
        <v>0.13450356878657033</v>
      </c>
    </row>
    <row r="33" spans="2:14" x14ac:dyDescent="0.55000000000000004">
      <c r="B33" t="s">
        <v>6</v>
      </c>
      <c r="C33" t="s">
        <v>7</v>
      </c>
      <c r="D33">
        <v>29</v>
      </c>
      <c r="E33">
        <f t="shared" si="0"/>
        <v>118.85682050610031</v>
      </c>
      <c r="F33">
        <v>10</v>
      </c>
      <c r="G33">
        <v>100</v>
      </c>
      <c r="H33">
        <f t="shared" si="4"/>
        <v>122.5799560546875</v>
      </c>
      <c r="L33">
        <f t="shared" si="1"/>
        <v>4.7779195796741192</v>
      </c>
      <c r="M33">
        <f t="shared" si="2"/>
        <v>3.0950151319812993</v>
      </c>
      <c r="N33">
        <f t="shared" si="3"/>
        <v>1.6829044476928199</v>
      </c>
    </row>
    <row r="34" spans="2:14" x14ac:dyDescent="0.55000000000000004">
      <c r="B34" t="s">
        <v>6</v>
      </c>
      <c r="C34" t="s">
        <v>7</v>
      </c>
      <c r="D34">
        <v>30</v>
      </c>
      <c r="E34">
        <f t="shared" si="0"/>
        <v>257.78348292793356</v>
      </c>
      <c r="F34">
        <v>10</v>
      </c>
      <c r="G34">
        <v>100</v>
      </c>
      <c r="H34">
        <f t="shared" si="4"/>
        <v>161.28997802734375</v>
      </c>
      <c r="L34">
        <f t="shared" si="1"/>
        <v>5.5521200191272442</v>
      </c>
      <c r="M34">
        <f t="shared" si="2"/>
        <v>3.0950151319812993</v>
      </c>
      <c r="N34">
        <f t="shared" si="3"/>
        <v>2.4571048871459449</v>
      </c>
    </row>
    <row r="35" spans="2:14" x14ac:dyDescent="0.55000000000000004">
      <c r="B35" t="s">
        <v>6</v>
      </c>
      <c r="C35" t="s">
        <v>7</v>
      </c>
      <c r="D35">
        <v>31</v>
      </c>
      <c r="E35">
        <f t="shared" si="0"/>
        <v>233.37861903535872</v>
      </c>
      <c r="F35">
        <v>15</v>
      </c>
      <c r="G35">
        <v>100</v>
      </c>
      <c r="H35">
        <f t="shared" si="4"/>
        <v>180.64498901367188</v>
      </c>
      <c r="L35">
        <f t="shared" si="1"/>
        <v>5.4526621091240104</v>
      </c>
      <c r="M35">
        <f t="shared" si="2"/>
        <v>3.0950151319812993</v>
      </c>
      <c r="N35">
        <f t="shared" si="3"/>
        <v>2.3576469771427111</v>
      </c>
    </row>
    <row r="36" spans="2:14" x14ac:dyDescent="0.55000000000000004">
      <c r="B36" t="s">
        <v>6</v>
      </c>
      <c r="C36" t="s">
        <v>7</v>
      </c>
      <c r="D36">
        <v>32</v>
      </c>
      <c r="E36">
        <f t="shared" si="0"/>
        <v>38.329208094850323</v>
      </c>
      <c r="F36">
        <v>15</v>
      </c>
      <c r="G36">
        <v>0</v>
      </c>
      <c r="H36">
        <f t="shared" si="4"/>
        <v>90.322494506835938</v>
      </c>
      <c r="L36">
        <f t="shared" si="1"/>
        <v>3.6462122189872916</v>
      </c>
      <c r="M36">
        <f t="shared" si="2"/>
        <v>3.0950151319812993</v>
      </c>
      <c r="N36">
        <f t="shared" si="3"/>
        <v>0.55119708700599235</v>
      </c>
    </row>
    <row r="37" spans="2:14" x14ac:dyDescent="0.55000000000000004">
      <c r="B37" t="s">
        <v>6</v>
      </c>
      <c r="C37" t="s">
        <v>7</v>
      </c>
      <c r="D37">
        <v>33</v>
      </c>
      <c r="E37">
        <f t="shared" ref="E37:E68" si="5">EXP(2-1.2*(LN(F37)-LN(AVERAGE(F:F)))+0.02*H37)</f>
        <v>15.533318133281966</v>
      </c>
      <c r="F37">
        <v>15</v>
      </c>
      <c r="G37">
        <v>0</v>
      </c>
      <c r="H37">
        <f t="shared" si="4"/>
        <v>45.161247253417969</v>
      </c>
      <c r="L37">
        <f t="shared" si="1"/>
        <v>2.7429872739189323</v>
      </c>
      <c r="M37">
        <f t="shared" si="2"/>
        <v>3.0950151319812993</v>
      </c>
      <c r="N37">
        <f t="shared" si="3"/>
        <v>-0.35202785806236703</v>
      </c>
    </row>
    <row r="38" spans="2:14" x14ac:dyDescent="0.55000000000000004">
      <c r="B38" t="s">
        <v>6</v>
      </c>
      <c r="C38" t="s">
        <v>7</v>
      </c>
      <c r="D38">
        <v>34</v>
      </c>
      <c r="E38">
        <f t="shared" si="5"/>
        <v>73.066851889367172</v>
      </c>
      <c r="F38">
        <v>15</v>
      </c>
      <c r="G38">
        <v>100</v>
      </c>
      <c r="H38">
        <f t="shared" si="4"/>
        <v>122.58062362670898</v>
      </c>
      <c r="L38">
        <f t="shared" si="1"/>
        <v>4.2913748013847526</v>
      </c>
      <c r="M38">
        <f t="shared" si="2"/>
        <v>3.0950151319812993</v>
      </c>
      <c r="N38">
        <f t="shared" si="3"/>
        <v>1.1963596694034533</v>
      </c>
    </row>
    <row r="39" spans="2:14" x14ac:dyDescent="0.55000000000000004">
      <c r="B39" t="s">
        <v>6</v>
      </c>
      <c r="C39" t="s">
        <v>7</v>
      </c>
      <c r="D39">
        <v>35</v>
      </c>
      <c r="E39">
        <f t="shared" si="5"/>
        <v>158.47051727274626</v>
      </c>
      <c r="F39">
        <v>15</v>
      </c>
      <c r="G39">
        <v>100</v>
      </c>
      <c r="H39">
        <f t="shared" si="4"/>
        <v>161.29031181335449</v>
      </c>
      <c r="L39">
        <f t="shared" si="1"/>
        <v>5.0655685651176627</v>
      </c>
      <c r="M39">
        <f t="shared" si="2"/>
        <v>3.0950151319812993</v>
      </c>
      <c r="N39">
        <f t="shared" si="3"/>
        <v>1.9705534331363634</v>
      </c>
    </row>
    <row r="40" spans="2:14" x14ac:dyDescent="0.55000000000000004">
      <c r="B40" t="s">
        <v>6</v>
      </c>
      <c r="C40" t="s">
        <v>7</v>
      </c>
      <c r="D40">
        <v>36</v>
      </c>
      <c r="E40">
        <f t="shared" si="5"/>
        <v>233.37939802184118</v>
      </c>
      <c r="F40">
        <v>15</v>
      </c>
      <c r="G40">
        <v>100</v>
      </c>
      <c r="H40">
        <f t="shared" si="4"/>
        <v>180.64515590667725</v>
      </c>
      <c r="L40">
        <f t="shared" si="1"/>
        <v>5.4526654469841178</v>
      </c>
      <c r="M40">
        <f t="shared" si="2"/>
        <v>3.0950151319812993</v>
      </c>
      <c r="N40">
        <f t="shared" si="3"/>
        <v>2.3576503150028185</v>
      </c>
    </row>
    <row r="41" spans="2:14" x14ac:dyDescent="0.55000000000000004">
      <c r="B41" t="s">
        <v>6</v>
      </c>
      <c r="C41" t="s">
        <v>7</v>
      </c>
      <c r="D41">
        <v>37</v>
      </c>
      <c r="E41">
        <f t="shared" si="5"/>
        <v>38.329272063671027</v>
      </c>
      <c r="F41">
        <v>15</v>
      </c>
      <c r="G41">
        <v>0</v>
      </c>
      <c r="H41">
        <f t="shared" si="4"/>
        <v>90.322577953338623</v>
      </c>
      <c r="L41">
        <f t="shared" si="1"/>
        <v>3.6462138879173454</v>
      </c>
      <c r="M41">
        <f t="shared" si="2"/>
        <v>3.0950151319812993</v>
      </c>
      <c r="N41">
        <f t="shared" si="3"/>
        <v>0.55119875593604606</v>
      </c>
    </row>
    <row r="42" spans="2:14" x14ac:dyDescent="0.55000000000000004">
      <c r="B42" t="s">
        <v>6</v>
      </c>
      <c r="C42" t="s">
        <v>7</v>
      </c>
      <c r="D42">
        <v>38</v>
      </c>
      <c r="E42">
        <f t="shared" si="5"/>
        <v>15.533331095298108</v>
      </c>
      <c r="F42">
        <v>15</v>
      </c>
      <c r="G42">
        <v>0</v>
      </c>
      <c r="H42">
        <f t="shared" si="4"/>
        <v>45.161288976669312</v>
      </c>
      <c r="L42">
        <f t="shared" si="1"/>
        <v>2.7429881083839591</v>
      </c>
      <c r="M42">
        <f t="shared" si="2"/>
        <v>3.0950151319812993</v>
      </c>
      <c r="N42">
        <f t="shared" si="3"/>
        <v>-0.35202702359734017</v>
      </c>
    </row>
    <row r="43" spans="2:14" x14ac:dyDescent="0.55000000000000004">
      <c r="B43" t="s">
        <v>6</v>
      </c>
      <c r="C43" t="s">
        <v>7</v>
      </c>
      <c r="D43">
        <v>39</v>
      </c>
      <c r="E43">
        <f t="shared" si="5"/>
        <v>73.066882375239786</v>
      </c>
      <c r="F43">
        <v>15</v>
      </c>
      <c r="G43">
        <v>100</v>
      </c>
      <c r="H43">
        <f t="shared" si="4"/>
        <v>122.58064448833466</v>
      </c>
      <c r="L43">
        <f t="shared" si="1"/>
        <v>4.291375218617266</v>
      </c>
      <c r="M43">
        <f t="shared" si="2"/>
        <v>3.0950151319812993</v>
      </c>
      <c r="N43">
        <f t="shared" si="3"/>
        <v>1.1963600866359667</v>
      </c>
    </row>
    <row r="44" spans="2:14" x14ac:dyDescent="0.55000000000000004">
      <c r="B44" t="s">
        <v>6</v>
      </c>
      <c r="C44" t="s">
        <v>7</v>
      </c>
      <c r="D44">
        <v>40</v>
      </c>
      <c r="E44">
        <f t="shared" si="5"/>
        <v>21.446656813880434</v>
      </c>
      <c r="F44">
        <v>15</v>
      </c>
      <c r="G44">
        <v>0</v>
      </c>
      <c r="H44">
        <f t="shared" si="4"/>
        <v>61.290322244167328</v>
      </c>
      <c r="L44">
        <f t="shared" si="1"/>
        <v>3.0655687737339194</v>
      </c>
      <c r="M44">
        <f t="shared" si="2"/>
        <v>3.0950151319812993</v>
      </c>
      <c r="N44">
        <f t="shared" si="3"/>
        <v>-2.9446358247379845E-2</v>
      </c>
    </row>
    <row r="45" spans="2:14" x14ac:dyDescent="0.55000000000000004">
      <c r="B45" t="s">
        <v>6</v>
      </c>
      <c r="C45" t="s">
        <v>7</v>
      </c>
      <c r="D45">
        <v>41</v>
      </c>
      <c r="E45">
        <f t="shared" si="5"/>
        <v>11.619277256949339</v>
      </c>
      <c r="F45">
        <v>15</v>
      </c>
      <c r="G45">
        <v>0</v>
      </c>
      <c r="H45">
        <f t="shared" si="4"/>
        <v>30.645161122083664</v>
      </c>
      <c r="L45">
        <f t="shared" si="1"/>
        <v>2.4526655512922462</v>
      </c>
      <c r="M45">
        <f t="shared" si="2"/>
        <v>3.0950151319812993</v>
      </c>
      <c r="N45">
        <f t="shared" si="3"/>
        <v>-0.64234958068905312</v>
      </c>
    </row>
    <row r="46" spans="2:14" x14ac:dyDescent="0.55000000000000004">
      <c r="B46" t="s">
        <v>6</v>
      </c>
      <c r="C46" t="s">
        <v>7</v>
      </c>
      <c r="D46">
        <v>42</v>
      </c>
      <c r="E46">
        <f t="shared" si="5"/>
        <v>8.5524170599829503</v>
      </c>
      <c r="F46">
        <v>15</v>
      </c>
      <c r="G46">
        <v>0</v>
      </c>
      <c r="H46">
        <f t="shared" si="4"/>
        <v>15.322580561041832</v>
      </c>
      <c r="L46">
        <f t="shared" si="1"/>
        <v>2.1462139400714095</v>
      </c>
      <c r="M46">
        <f t="shared" si="2"/>
        <v>3.0950151319812993</v>
      </c>
      <c r="N46">
        <f t="shared" si="3"/>
        <v>-0.94880119190988976</v>
      </c>
    </row>
    <row r="47" spans="2:14" x14ac:dyDescent="0.55000000000000004">
      <c r="B47" t="s">
        <v>6</v>
      </c>
      <c r="C47" t="s">
        <v>7</v>
      </c>
      <c r="D47">
        <v>43</v>
      </c>
      <c r="E47">
        <f t="shared" si="5"/>
        <v>7.3374262534090731</v>
      </c>
      <c r="F47">
        <v>15</v>
      </c>
      <c r="G47">
        <v>0</v>
      </c>
      <c r="H47">
        <f t="shared" si="4"/>
        <v>7.661290280520916</v>
      </c>
      <c r="L47">
        <f t="shared" si="1"/>
        <v>1.992988134460991</v>
      </c>
      <c r="M47">
        <f t="shared" si="2"/>
        <v>3.0950151319812993</v>
      </c>
      <c r="N47">
        <f t="shared" si="3"/>
        <v>-1.1020269975203083</v>
      </c>
    </row>
    <row r="48" spans="2:14" x14ac:dyDescent="0.55000000000000004">
      <c r="B48" t="s">
        <v>6</v>
      </c>
      <c r="C48" t="s">
        <v>7</v>
      </c>
      <c r="D48">
        <v>44</v>
      </c>
      <c r="E48">
        <f t="shared" si="5"/>
        <v>6.7962788309619482</v>
      </c>
      <c r="F48">
        <v>15</v>
      </c>
      <c r="G48">
        <v>0</v>
      </c>
      <c r="H48">
        <f t="shared" si="4"/>
        <v>3.830645140260458</v>
      </c>
      <c r="L48">
        <f t="shared" si="1"/>
        <v>1.9163752316557818</v>
      </c>
      <c r="M48">
        <f t="shared" si="2"/>
        <v>3.0950151319812993</v>
      </c>
      <c r="N48">
        <f t="shared" si="3"/>
        <v>-1.1786399003255175</v>
      </c>
    </row>
    <row r="49" spans="2:14" x14ac:dyDescent="0.55000000000000004">
      <c r="B49" t="s">
        <v>6</v>
      </c>
      <c r="C49" t="s">
        <v>7</v>
      </c>
      <c r="D49">
        <v>45</v>
      </c>
      <c r="E49">
        <f t="shared" si="5"/>
        <v>6.5408608173347185</v>
      </c>
      <c r="F49">
        <v>15</v>
      </c>
      <c r="G49">
        <v>0</v>
      </c>
      <c r="H49">
        <f t="shared" si="4"/>
        <v>1.915322570130229</v>
      </c>
      <c r="L49">
        <f t="shared" si="1"/>
        <v>1.8780687802531773</v>
      </c>
      <c r="M49">
        <f t="shared" si="2"/>
        <v>3.0950151319812993</v>
      </c>
      <c r="N49">
        <f t="shared" si="3"/>
        <v>-1.216946351728122</v>
      </c>
    </row>
    <row r="50" spans="2:14" x14ac:dyDescent="0.55000000000000004">
      <c r="B50" t="s">
        <v>6</v>
      </c>
      <c r="C50" t="s">
        <v>7</v>
      </c>
      <c r="D50">
        <v>46</v>
      </c>
      <c r="E50">
        <f t="shared" si="5"/>
        <v>6.2950419333647467</v>
      </c>
      <c r="F50">
        <v>15</v>
      </c>
      <c r="G50">
        <v>0</v>
      </c>
      <c r="H50">
        <f t="shared" si="4"/>
        <v>0</v>
      </c>
      <c r="L50">
        <f t="shared" si="1"/>
        <v>1.8397623288505727</v>
      </c>
      <c r="M50">
        <f t="shared" si="2"/>
        <v>3.0950151319812993</v>
      </c>
      <c r="N50">
        <f t="shared" si="3"/>
        <v>-1.2552528031307266</v>
      </c>
    </row>
    <row r="51" spans="2:14" x14ac:dyDescent="0.55000000000000004">
      <c r="B51" t="s">
        <v>6</v>
      </c>
      <c r="C51" t="s">
        <v>7</v>
      </c>
      <c r="D51">
        <v>47</v>
      </c>
      <c r="E51">
        <f t="shared" si="5"/>
        <v>6.2950419333647467</v>
      </c>
      <c r="F51">
        <v>15</v>
      </c>
      <c r="G51">
        <v>0</v>
      </c>
      <c r="H51">
        <f t="shared" si="4"/>
        <v>0</v>
      </c>
      <c r="L51">
        <f t="shared" si="1"/>
        <v>1.8397623288505727</v>
      </c>
      <c r="M51">
        <f t="shared" si="2"/>
        <v>3.0950151319812993</v>
      </c>
      <c r="N51">
        <f t="shared" si="3"/>
        <v>-1.2552528031307266</v>
      </c>
    </row>
    <row r="52" spans="2:14" x14ac:dyDescent="0.55000000000000004">
      <c r="B52" t="s">
        <v>6</v>
      </c>
      <c r="C52" t="s">
        <v>7</v>
      </c>
      <c r="D52">
        <v>48</v>
      </c>
      <c r="E52">
        <f t="shared" si="5"/>
        <v>6.2950419333647467</v>
      </c>
      <c r="F52">
        <v>15</v>
      </c>
      <c r="G52">
        <v>0</v>
      </c>
      <c r="H52">
        <f t="shared" si="4"/>
        <v>0</v>
      </c>
      <c r="L52">
        <f t="shared" si="1"/>
        <v>1.8397623288505727</v>
      </c>
      <c r="M52">
        <f t="shared" si="2"/>
        <v>3.0950151319812993</v>
      </c>
      <c r="N52">
        <f t="shared" si="3"/>
        <v>-1.2552528031307266</v>
      </c>
    </row>
    <row r="53" spans="2:14" x14ac:dyDescent="0.55000000000000004">
      <c r="B53" t="s">
        <v>6</v>
      </c>
      <c r="C53" t="s">
        <v>7</v>
      </c>
      <c r="D53">
        <v>49</v>
      </c>
      <c r="E53">
        <f t="shared" si="5"/>
        <v>6.2950419333647467</v>
      </c>
      <c r="F53">
        <v>15</v>
      </c>
      <c r="G53">
        <v>0</v>
      </c>
      <c r="H53">
        <f t="shared" si="4"/>
        <v>0</v>
      </c>
      <c r="L53">
        <f t="shared" si="1"/>
        <v>1.8397623288505727</v>
      </c>
      <c r="M53">
        <f t="shared" si="2"/>
        <v>3.0950151319812993</v>
      </c>
      <c r="N53">
        <f t="shared" si="3"/>
        <v>-1.2552528031307266</v>
      </c>
    </row>
    <row r="54" spans="2:14" x14ac:dyDescent="0.55000000000000004">
      <c r="B54" t="s">
        <v>6</v>
      </c>
      <c r="C54" t="s">
        <v>7</v>
      </c>
      <c r="D54">
        <v>50</v>
      </c>
      <c r="E54">
        <f t="shared" si="5"/>
        <v>6.2950419333647467</v>
      </c>
      <c r="F54">
        <v>15</v>
      </c>
      <c r="G54">
        <v>0</v>
      </c>
      <c r="H54">
        <f t="shared" si="4"/>
        <v>0</v>
      </c>
      <c r="L54">
        <f t="shared" si="1"/>
        <v>1.8397623288505727</v>
      </c>
      <c r="M54">
        <f t="shared" si="2"/>
        <v>3.0950151319812993</v>
      </c>
      <c r="N54">
        <f t="shared" si="3"/>
        <v>-1.2552528031307266</v>
      </c>
    </row>
    <row r="55" spans="2:14" x14ac:dyDescent="0.55000000000000004">
      <c r="B55" t="s">
        <v>6</v>
      </c>
      <c r="C55" t="s">
        <v>7</v>
      </c>
      <c r="D55">
        <v>51</v>
      </c>
      <c r="E55">
        <f t="shared" si="5"/>
        <v>6.2950419333647467</v>
      </c>
      <c r="F55">
        <v>15</v>
      </c>
      <c r="G55">
        <v>0</v>
      </c>
      <c r="H55">
        <f t="shared" si="4"/>
        <v>0</v>
      </c>
      <c r="L55">
        <f t="shared" si="1"/>
        <v>1.8397623288505727</v>
      </c>
      <c r="M55">
        <f t="shared" si="2"/>
        <v>3.0950151319812993</v>
      </c>
      <c r="N55">
        <f t="shared" si="3"/>
        <v>-1.2552528031307266</v>
      </c>
    </row>
    <row r="56" spans="2:14" x14ac:dyDescent="0.55000000000000004">
      <c r="B56" t="s">
        <v>6</v>
      </c>
      <c r="C56" t="s">
        <v>7</v>
      </c>
      <c r="D56">
        <v>52</v>
      </c>
      <c r="E56">
        <f t="shared" si="5"/>
        <v>6.2950419333647467</v>
      </c>
      <c r="F56">
        <v>15</v>
      </c>
      <c r="G56">
        <v>0</v>
      </c>
      <c r="H56">
        <f t="shared" si="4"/>
        <v>0</v>
      </c>
      <c r="L56">
        <f t="shared" si="1"/>
        <v>1.8397623288505727</v>
      </c>
      <c r="M56">
        <f t="shared" si="2"/>
        <v>3.0950151319812993</v>
      </c>
      <c r="N56">
        <f t="shared" si="3"/>
        <v>-1.2552528031307266</v>
      </c>
    </row>
    <row r="57" spans="2:14" x14ac:dyDescent="0.55000000000000004">
      <c r="B57" t="s">
        <v>6</v>
      </c>
      <c r="C57" t="s">
        <v>7</v>
      </c>
      <c r="D57">
        <v>53</v>
      </c>
      <c r="E57">
        <f t="shared" si="5"/>
        <v>6.2950419333647467</v>
      </c>
      <c r="F57">
        <v>15</v>
      </c>
      <c r="G57">
        <v>0</v>
      </c>
      <c r="H57">
        <f t="shared" si="4"/>
        <v>0</v>
      </c>
      <c r="L57">
        <f t="shared" si="1"/>
        <v>1.8397623288505727</v>
      </c>
      <c r="M57">
        <f t="shared" si="2"/>
        <v>3.0950151319812993</v>
      </c>
      <c r="N57">
        <f t="shared" si="3"/>
        <v>-1.2552528031307266</v>
      </c>
    </row>
    <row r="58" spans="2:14" x14ac:dyDescent="0.55000000000000004">
      <c r="B58" t="s">
        <v>6</v>
      </c>
      <c r="C58" t="s">
        <v>7</v>
      </c>
      <c r="D58">
        <v>54</v>
      </c>
      <c r="E58">
        <f t="shared" si="5"/>
        <v>6.2950419333647467</v>
      </c>
      <c r="F58">
        <v>15</v>
      </c>
      <c r="G58">
        <v>0</v>
      </c>
      <c r="H58">
        <f t="shared" si="4"/>
        <v>0</v>
      </c>
      <c r="L58">
        <f t="shared" si="1"/>
        <v>1.8397623288505727</v>
      </c>
      <c r="M58">
        <f t="shared" si="2"/>
        <v>3.0950151319812993</v>
      </c>
      <c r="N58">
        <f t="shared" si="3"/>
        <v>-1.2552528031307266</v>
      </c>
    </row>
    <row r="59" spans="2:14" x14ac:dyDescent="0.55000000000000004">
      <c r="B59" t="s">
        <v>6</v>
      </c>
      <c r="C59" t="s">
        <v>7</v>
      </c>
      <c r="D59">
        <v>55</v>
      </c>
      <c r="E59">
        <f t="shared" si="5"/>
        <v>6.2950419333647467</v>
      </c>
      <c r="F59">
        <v>15</v>
      </c>
      <c r="G59">
        <v>0</v>
      </c>
      <c r="H59">
        <f t="shared" si="4"/>
        <v>0</v>
      </c>
      <c r="L59">
        <f t="shared" si="1"/>
        <v>1.8397623288505727</v>
      </c>
      <c r="M59">
        <f t="shared" si="2"/>
        <v>3.0950151319812993</v>
      </c>
      <c r="N59">
        <f t="shared" si="3"/>
        <v>-1.2552528031307266</v>
      </c>
    </row>
    <row r="60" spans="2:14" x14ac:dyDescent="0.55000000000000004">
      <c r="B60" t="s">
        <v>6</v>
      </c>
      <c r="C60" t="s">
        <v>7</v>
      </c>
      <c r="D60">
        <v>56</v>
      </c>
      <c r="E60">
        <f t="shared" si="5"/>
        <v>6.2950419333647467</v>
      </c>
      <c r="F60">
        <v>15</v>
      </c>
      <c r="G60">
        <v>0</v>
      </c>
      <c r="H60">
        <f t="shared" si="4"/>
        <v>0</v>
      </c>
      <c r="L60">
        <f t="shared" si="1"/>
        <v>1.8397623288505727</v>
      </c>
      <c r="M60">
        <f t="shared" si="2"/>
        <v>3.0950151319812993</v>
      </c>
      <c r="N60">
        <f t="shared" si="3"/>
        <v>-1.2552528031307266</v>
      </c>
    </row>
    <row r="61" spans="2:14" x14ac:dyDescent="0.55000000000000004">
      <c r="B61" t="s">
        <v>6</v>
      </c>
      <c r="C61" t="s">
        <v>7</v>
      </c>
      <c r="D61">
        <v>57</v>
      </c>
      <c r="E61">
        <f t="shared" si="5"/>
        <v>6.2950419333647467</v>
      </c>
      <c r="F61">
        <v>15</v>
      </c>
      <c r="G61">
        <v>0</v>
      </c>
      <c r="H61">
        <f t="shared" si="4"/>
        <v>0</v>
      </c>
      <c r="L61">
        <f t="shared" si="1"/>
        <v>1.8397623288505727</v>
      </c>
      <c r="M61">
        <f t="shared" si="2"/>
        <v>3.0950151319812993</v>
      </c>
      <c r="N61">
        <f t="shared" si="3"/>
        <v>-1.2552528031307266</v>
      </c>
    </row>
    <row r="62" spans="2:14" x14ac:dyDescent="0.55000000000000004">
      <c r="B62" t="s">
        <v>6</v>
      </c>
      <c r="C62" t="s">
        <v>7</v>
      </c>
      <c r="D62">
        <v>58</v>
      </c>
      <c r="E62">
        <f t="shared" si="5"/>
        <v>6.2950419333647467</v>
      </c>
      <c r="F62">
        <v>15</v>
      </c>
      <c r="G62">
        <v>0</v>
      </c>
      <c r="H62">
        <f t="shared" si="4"/>
        <v>0</v>
      </c>
      <c r="L62">
        <f t="shared" si="1"/>
        <v>1.8397623288505727</v>
      </c>
      <c r="M62">
        <f t="shared" si="2"/>
        <v>3.0950151319812993</v>
      </c>
      <c r="N62">
        <f t="shared" si="3"/>
        <v>-1.2552528031307266</v>
      </c>
    </row>
    <row r="63" spans="2:14" x14ac:dyDescent="0.55000000000000004">
      <c r="B63" t="s">
        <v>6</v>
      </c>
      <c r="C63" t="s">
        <v>7</v>
      </c>
      <c r="D63">
        <v>59</v>
      </c>
      <c r="E63">
        <f t="shared" si="5"/>
        <v>6.2950419333647467</v>
      </c>
      <c r="F63">
        <v>15</v>
      </c>
      <c r="G63">
        <v>0</v>
      </c>
      <c r="H63">
        <f t="shared" si="4"/>
        <v>0</v>
      </c>
      <c r="L63">
        <f t="shared" si="1"/>
        <v>1.8397623288505727</v>
      </c>
      <c r="M63">
        <f t="shared" si="2"/>
        <v>3.0950151319812993</v>
      </c>
      <c r="N63">
        <f t="shared" si="3"/>
        <v>-1.2552528031307266</v>
      </c>
    </row>
    <row r="64" spans="2:14" x14ac:dyDescent="0.55000000000000004">
      <c r="B64" t="s">
        <v>6</v>
      </c>
      <c r="C64" t="s">
        <v>7</v>
      </c>
      <c r="D64">
        <v>60</v>
      </c>
      <c r="E64">
        <f t="shared" si="5"/>
        <v>6.2950419333647467</v>
      </c>
      <c r="F64">
        <v>15</v>
      </c>
      <c r="G64">
        <v>0</v>
      </c>
      <c r="H64">
        <f t="shared" si="4"/>
        <v>0</v>
      </c>
      <c r="L64">
        <f t="shared" si="1"/>
        <v>1.8397623288505727</v>
      </c>
      <c r="M64">
        <f t="shared" si="2"/>
        <v>3.0950151319812993</v>
      </c>
      <c r="N64">
        <f t="shared" si="3"/>
        <v>-1.2552528031307266</v>
      </c>
    </row>
    <row r="65" spans="2:14" x14ac:dyDescent="0.55000000000000004">
      <c r="B65" t="s">
        <v>6</v>
      </c>
      <c r="C65" t="s">
        <v>7</v>
      </c>
      <c r="D65">
        <v>61</v>
      </c>
      <c r="E65">
        <f t="shared" si="5"/>
        <v>6.2950419333647467</v>
      </c>
      <c r="F65">
        <v>15</v>
      </c>
      <c r="G65">
        <v>0</v>
      </c>
      <c r="H65">
        <f t="shared" si="4"/>
        <v>0</v>
      </c>
      <c r="L65">
        <f t="shared" si="1"/>
        <v>1.8397623288505727</v>
      </c>
      <c r="M65">
        <f t="shared" si="2"/>
        <v>3.0950151319812993</v>
      </c>
      <c r="N65">
        <f t="shared" si="3"/>
        <v>-1.2552528031307266</v>
      </c>
    </row>
    <row r="66" spans="2:14" x14ac:dyDescent="0.55000000000000004">
      <c r="B66" t="s">
        <v>6</v>
      </c>
      <c r="C66" t="s">
        <v>7</v>
      </c>
      <c r="D66">
        <v>62</v>
      </c>
      <c r="E66">
        <f t="shared" si="5"/>
        <v>6.2950419333647467</v>
      </c>
      <c r="F66">
        <v>15</v>
      </c>
      <c r="G66">
        <v>0</v>
      </c>
      <c r="H66">
        <f t="shared" si="4"/>
        <v>0</v>
      </c>
      <c r="L66">
        <f t="shared" si="1"/>
        <v>1.8397623288505727</v>
      </c>
      <c r="M66">
        <f t="shared" si="2"/>
        <v>3.0950151319812993</v>
      </c>
      <c r="N66">
        <f t="shared" si="3"/>
        <v>-1.2552528031307266</v>
      </c>
    </row>
    <row r="67" spans="2:14" x14ac:dyDescent="0.55000000000000004">
      <c r="B67" t="s">
        <v>6</v>
      </c>
      <c r="C67" t="s">
        <v>7</v>
      </c>
      <c r="D67">
        <v>63</v>
      </c>
      <c r="E67">
        <f t="shared" si="5"/>
        <v>6.2950419333647467</v>
      </c>
      <c r="F67">
        <v>15</v>
      </c>
      <c r="G67">
        <v>0</v>
      </c>
      <c r="H67">
        <f t="shared" si="4"/>
        <v>0</v>
      </c>
      <c r="L67">
        <f t="shared" si="1"/>
        <v>1.8397623288505727</v>
      </c>
      <c r="M67">
        <f t="shared" si="2"/>
        <v>3.0950151319812993</v>
      </c>
      <c r="N67">
        <f t="shared" si="3"/>
        <v>-1.2552528031307266</v>
      </c>
    </row>
    <row r="68" spans="2:14" x14ac:dyDescent="0.55000000000000004">
      <c r="B68" t="s">
        <v>6</v>
      </c>
      <c r="C68" t="s">
        <v>7</v>
      </c>
      <c r="D68">
        <v>64</v>
      </c>
      <c r="E68">
        <f t="shared" si="5"/>
        <v>6.2950419333647467</v>
      </c>
      <c r="F68">
        <v>15</v>
      </c>
      <c r="G68">
        <v>0</v>
      </c>
      <c r="H68">
        <f t="shared" si="4"/>
        <v>0</v>
      </c>
      <c r="L68">
        <f t="shared" si="1"/>
        <v>1.8397623288505727</v>
      </c>
      <c r="M68">
        <f t="shared" si="2"/>
        <v>3.0950151319812993</v>
      </c>
      <c r="N68">
        <f t="shared" si="3"/>
        <v>-1.2552528031307266</v>
      </c>
    </row>
    <row r="69" spans="2:14" x14ac:dyDescent="0.55000000000000004">
      <c r="B69" t="s">
        <v>6</v>
      </c>
      <c r="C69" t="s">
        <v>7</v>
      </c>
      <c r="D69">
        <v>65</v>
      </c>
      <c r="E69">
        <f t="shared" ref="E69:E100" si="6">EXP(2-1.2*(LN(F69)-LN(AVERAGE(F:F)))+0.02*H69)</f>
        <v>6.2950419333647467</v>
      </c>
      <c r="F69">
        <v>15</v>
      </c>
      <c r="G69">
        <v>0</v>
      </c>
      <c r="H69">
        <f t="shared" si="4"/>
        <v>0</v>
      </c>
      <c r="L69">
        <f t="shared" si="1"/>
        <v>1.8397623288505727</v>
      </c>
      <c r="M69">
        <f t="shared" si="2"/>
        <v>3.0950151319812993</v>
      </c>
      <c r="N69">
        <f t="shared" si="3"/>
        <v>-1.2552528031307266</v>
      </c>
    </row>
    <row r="70" spans="2:14" x14ac:dyDescent="0.55000000000000004">
      <c r="B70" t="s">
        <v>6</v>
      </c>
      <c r="C70" t="s">
        <v>7</v>
      </c>
      <c r="D70">
        <v>66</v>
      </c>
      <c r="E70">
        <f t="shared" si="6"/>
        <v>28.212420630080594</v>
      </c>
      <c r="F70">
        <v>15</v>
      </c>
      <c r="G70">
        <v>75</v>
      </c>
      <c r="H70">
        <f t="shared" si="4"/>
        <v>75</v>
      </c>
      <c r="L70">
        <f t="shared" ref="L70:L133" si="7">LN(E70)</f>
        <v>3.3397623288505729</v>
      </c>
      <c r="M70">
        <f t="shared" ref="M70:M108" si="8">AVERAGE($L$5:$L$108)</f>
        <v>3.0950151319812993</v>
      </c>
      <c r="N70">
        <f t="shared" ref="N70:N133" si="9">L70-M70</f>
        <v>0.2447471968692736</v>
      </c>
    </row>
    <row r="71" spans="2:14" x14ac:dyDescent="0.55000000000000004">
      <c r="B71" t="s">
        <v>6</v>
      </c>
      <c r="C71" t="s">
        <v>7</v>
      </c>
      <c r="D71">
        <v>67</v>
      </c>
      <c r="E71">
        <f t="shared" si="6"/>
        <v>59.725694942564381</v>
      </c>
      <c r="F71">
        <v>15</v>
      </c>
      <c r="G71">
        <v>75</v>
      </c>
      <c r="H71">
        <f t="shared" ref="H71:H108" si="10">IF(H70*0.5&gt;1,G71+H70*0.5,G71)</f>
        <v>112.5</v>
      </c>
      <c r="L71">
        <f t="shared" si="7"/>
        <v>4.0897623288505729</v>
      </c>
      <c r="M71">
        <f t="shared" si="8"/>
        <v>3.0950151319812993</v>
      </c>
      <c r="N71">
        <f t="shared" si="9"/>
        <v>0.9947471968692736</v>
      </c>
    </row>
    <row r="72" spans="2:14" x14ac:dyDescent="0.55000000000000004">
      <c r="B72" t="s">
        <v>6</v>
      </c>
      <c r="C72" t="s">
        <v>7</v>
      </c>
      <c r="D72">
        <v>68</v>
      </c>
      <c r="E72">
        <f t="shared" si="6"/>
        <v>86.900373373536894</v>
      </c>
      <c r="F72">
        <v>15</v>
      </c>
      <c r="G72">
        <v>75</v>
      </c>
      <c r="H72">
        <f t="shared" si="10"/>
        <v>131.25</v>
      </c>
      <c r="L72">
        <f t="shared" si="7"/>
        <v>4.4647623288505729</v>
      </c>
      <c r="M72">
        <f t="shared" si="8"/>
        <v>3.0950151319812993</v>
      </c>
      <c r="N72">
        <f t="shared" si="9"/>
        <v>1.3697471968692736</v>
      </c>
    </row>
    <row r="73" spans="2:14" x14ac:dyDescent="0.55000000000000004">
      <c r="B73" t="s">
        <v>6</v>
      </c>
      <c r="C73" t="s">
        <v>7</v>
      </c>
      <c r="D73">
        <v>69</v>
      </c>
      <c r="E73">
        <f t="shared" si="6"/>
        <v>23.388918196690248</v>
      </c>
      <c r="F73">
        <v>15</v>
      </c>
      <c r="G73">
        <v>0</v>
      </c>
      <c r="H73">
        <f t="shared" si="10"/>
        <v>65.625</v>
      </c>
      <c r="L73">
        <f t="shared" si="7"/>
        <v>3.1522623288505729</v>
      </c>
      <c r="M73">
        <f t="shared" si="8"/>
        <v>3.0950151319812993</v>
      </c>
      <c r="N73">
        <f t="shared" si="9"/>
        <v>5.7247196869273598E-2</v>
      </c>
    </row>
    <row r="74" spans="2:14" x14ac:dyDescent="0.55000000000000004">
      <c r="B74" t="s">
        <v>6</v>
      </c>
      <c r="C74" t="s">
        <v>7</v>
      </c>
      <c r="D74">
        <v>70</v>
      </c>
      <c r="E74">
        <f t="shared" si="6"/>
        <v>12.134010912480791</v>
      </c>
      <c r="F74">
        <v>15</v>
      </c>
      <c r="G74">
        <v>0</v>
      </c>
      <c r="H74">
        <f t="shared" si="10"/>
        <v>32.8125</v>
      </c>
      <c r="L74">
        <f t="shared" si="7"/>
        <v>2.4960123288505729</v>
      </c>
      <c r="M74">
        <f t="shared" si="8"/>
        <v>3.0950151319812993</v>
      </c>
      <c r="N74">
        <f t="shared" si="9"/>
        <v>-0.5990028031307264</v>
      </c>
    </row>
    <row r="75" spans="2:14" x14ac:dyDescent="0.55000000000000004">
      <c r="B75" t="s">
        <v>6</v>
      </c>
      <c r="C75" t="s">
        <v>7</v>
      </c>
      <c r="D75">
        <v>71</v>
      </c>
      <c r="E75">
        <f t="shared" si="6"/>
        <v>39.169067027651067</v>
      </c>
      <c r="F75">
        <v>15</v>
      </c>
      <c r="G75">
        <v>75</v>
      </c>
      <c r="H75">
        <f t="shared" si="10"/>
        <v>91.40625</v>
      </c>
      <c r="L75">
        <f t="shared" si="7"/>
        <v>3.6678873288505729</v>
      </c>
      <c r="M75">
        <f t="shared" si="8"/>
        <v>3.0950151319812993</v>
      </c>
      <c r="N75">
        <f t="shared" si="9"/>
        <v>0.5728721968692736</v>
      </c>
    </row>
    <row r="76" spans="2:14" x14ac:dyDescent="0.55000000000000004">
      <c r="B76" t="s">
        <v>6</v>
      </c>
      <c r="C76" t="s">
        <v>7</v>
      </c>
      <c r="D76">
        <v>72</v>
      </c>
      <c r="E76">
        <f t="shared" si="6"/>
        <v>70.374067001931479</v>
      </c>
      <c r="F76">
        <v>15</v>
      </c>
      <c r="G76">
        <v>75</v>
      </c>
      <c r="H76">
        <f t="shared" si="10"/>
        <v>120.703125</v>
      </c>
      <c r="L76">
        <f t="shared" si="7"/>
        <v>4.2538248288505729</v>
      </c>
      <c r="M76">
        <f t="shared" si="8"/>
        <v>3.0950151319812993</v>
      </c>
      <c r="N76">
        <f t="shared" si="9"/>
        <v>1.1588096968692736</v>
      </c>
    </row>
    <row r="77" spans="2:14" x14ac:dyDescent="0.55000000000000004">
      <c r="B77" t="s">
        <v>6</v>
      </c>
      <c r="C77" t="s">
        <v>7</v>
      </c>
      <c r="D77">
        <v>73</v>
      </c>
      <c r="E77">
        <f t="shared" si="6"/>
        <v>94.329462904319612</v>
      </c>
      <c r="F77">
        <v>15</v>
      </c>
      <c r="G77">
        <v>75</v>
      </c>
      <c r="H77">
        <f t="shared" si="10"/>
        <v>135.3515625</v>
      </c>
      <c r="L77">
        <f t="shared" si="7"/>
        <v>4.5467935788505729</v>
      </c>
      <c r="M77">
        <f t="shared" si="8"/>
        <v>3.0950151319812993</v>
      </c>
      <c r="N77">
        <f t="shared" si="9"/>
        <v>1.4517784468692736</v>
      </c>
    </row>
    <row r="78" spans="2:14" x14ac:dyDescent="0.55000000000000004">
      <c r="B78" t="s">
        <v>6</v>
      </c>
      <c r="C78" t="s">
        <v>7</v>
      </c>
      <c r="D78">
        <v>74</v>
      </c>
      <c r="E78">
        <f t="shared" si="6"/>
        <v>24.368174419403402</v>
      </c>
      <c r="F78">
        <v>15</v>
      </c>
      <c r="G78">
        <v>0</v>
      </c>
      <c r="H78">
        <f t="shared" si="10"/>
        <v>67.67578125</v>
      </c>
      <c r="L78">
        <f t="shared" si="7"/>
        <v>3.1932779538505729</v>
      </c>
      <c r="M78">
        <f t="shared" si="8"/>
        <v>3.0950151319812993</v>
      </c>
      <c r="N78">
        <f t="shared" si="9"/>
        <v>9.8262821869273598E-2</v>
      </c>
    </row>
    <row r="79" spans="2:14" x14ac:dyDescent="0.55000000000000004">
      <c r="B79" t="s">
        <v>6</v>
      </c>
      <c r="C79" t="s">
        <v>7</v>
      </c>
      <c r="D79">
        <v>75</v>
      </c>
      <c r="E79">
        <f t="shared" si="6"/>
        <v>12.385422068290229</v>
      </c>
      <c r="F79">
        <v>15</v>
      </c>
      <c r="G79">
        <v>0</v>
      </c>
      <c r="H79">
        <f t="shared" si="10"/>
        <v>33.837890625</v>
      </c>
      <c r="L79">
        <f t="shared" si="7"/>
        <v>2.5165201413505729</v>
      </c>
      <c r="M79">
        <f t="shared" si="8"/>
        <v>3.0950151319812993</v>
      </c>
      <c r="N79">
        <f t="shared" si="9"/>
        <v>-0.5784949906307264</v>
      </c>
    </row>
    <row r="80" spans="2:14" x14ac:dyDescent="0.55000000000000004">
      <c r="B80" t="s">
        <v>6</v>
      </c>
      <c r="C80" t="s">
        <v>7</v>
      </c>
      <c r="D80">
        <v>76</v>
      </c>
      <c r="E80">
        <f t="shared" si="6"/>
        <v>39.572769193749757</v>
      </c>
      <c r="F80">
        <v>15</v>
      </c>
      <c r="G80">
        <v>75</v>
      </c>
      <c r="H80">
        <f t="shared" si="10"/>
        <v>91.9189453125</v>
      </c>
      <c r="L80">
        <f t="shared" si="7"/>
        <v>3.6781412351005729</v>
      </c>
      <c r="M80">
        <f t="shared" si="8"/>
        <v>3.0950151319812993</v>
      </c>
      <c r="N80">
        <f t="shared" si="9"/>
        <v>0.5831261031192736</v>
      </c>
    </row>
    <row r="81" spans="2:14" x14ac:dyDescent="0.55000000000000004">
      <c r="B81" t="s">
        <v>6</v>
      </c>
      <c r="C81" t="s">
        <v>7</v>
      </c>
      <c r="D81">
        <v>77</v>
      </c>
      <c r="E81">
        <f t="shared" si="6"/>
        <v>70.73579804134657</v>
      </c>
      <c r="F81">
        <v>15</v>
      </c>
      <c r="G81">
        <v>75</v>
      </c>
      <c r="H81">
        <f t="shared" si="10"/>
        <v>120.95947265625</v>
      </c>
      <c r="L81">
        <f t="shared" si="7"/>
        <v>4.2589517819755729</v>
      </c>
      <c r="M81">
        <f t="shared" si="8"/>
        <v>3.0950151319812993</v>
      </c>
      <c r="N81">
        <f t="shared" si="9"/>
        <v>1.1639366499942736</v>
      </c>
    </row>
    <row r="82" spans="2:14" x14ac:dyDescent="0.55000000000000004">
      <c r="B82" t="s">
        <v>6</v>
      </c>
      <c r="C82" t="s">
        <v>7</v>
      </c>
      <c r="D82">
        <v>78</v>
      </c>
      <c r="E82">
        <f t="shared" si="6"/>
        <v>94.571584475524546</v>
      </c>
      <c r="F82">
        <v>15</v>
      </c>
      <c r="G82">
        <v>75</v>
      </c>
      <c r="H82">
        <f t="shared" si="10"/>
        <v>135.479736328125</v>
      </c>
      <c r="L82">
        <f t="shared" si="7"/>
        <v>4.5493570554130729</v>
      </c>
      <c r="M82">
        <f t="shared" si="8"/>
        <v>3.0950151319812993</v>
      </c>
      <c r="N82">
        <f t="shared" si="9"/>
        <v>1.4543419234317736</v>
      </c>
    </row>
    <row r="83" spans="2:14" x14ac:dyDescent="0.55000000000000004">
      <c r="B83" t="s">
        <v>6</v>
      </c>
      <c r="C83" t="s">
        <v>7</v>
      </c>
      <c r="D83">
        <v>79</v>
      </c>
      <c r="E83">
        <f t="shared" si="6"/>
        <v>24.399428066620199</v>
      </c>
      <c r="F83">
        <v>15</v>
      </c>
      <c r="G83">
        <v>0</v>
      </c>
      <c r="H83">
        <f t="shared" si="10"/>
        <v>67.7398681640625</v>
      </c>
      <c r="L83">
        <f t="shared" si="7"/>
        <v>3.1945596921318229</v>
      </c>
      <c r="M83">
        <f t="shared" si="8"/>
        <v>3.0950151319812993</v>
      </c>
      <c r="N83">
        <f t="shared" si="9"/>
        <v>9.9544560150523598E-2</v>
      </c>
    </row>
    <row r="84" spans="2:14" x14ac:dyDescent="0.55000000000000004">
      <c r="B84" t="s">
        <v>6</v>
      </c>
      <c r="C84" t="s">
        <v>7</v>
      </c>
      <c r="D84">
        <v>80</v>
      </c>
      <c r="E84">
        <f t="shared" si="6"/>
        <v>12.393362047059343</v>
      </c>
      <c r="F84">
        <v>15</v>
      </c>
      <c r="G84">
        <v>0</v>
      </c>
      <c r="H84">
        <f t="shared" si="10"/>
        <v>33.86993408203125</v>
      </c>
      <c r="L84">
        <f t="shared" si="7"/>
        <v>2.5171610104911979</v>
      </c>
      <c r="M84">
        <f t="shared" si="8"/>
        <v>3.0950151319812993</v>
      </c>
      <c r="N84">
        <f t="shared" si="9"/>
        <v>-0.5778541214901014</v>
      </c>
    </row>
    <row r="85" spans="2:14" x14ac:dyDescent="0.55000000000000004">
      <c r="B85" t="s">
        <v>6</v>
      </c>
      <c r="C85" t="s">
        <v>7</v>
      </c>
      <c r="D85">
        <v>81</v>
      </c>
      <c r="E85">
        <f t="shared" si="6"/>
        <v>39.585451708892059</v>
      </c>
      <c r="F85">
        <v>15</v>
      </c>
      <c r="G85">
        <v>75</v>
      </c>
      <c r="H85">
        <f t="shared" si="10"/>
        <v>91.934967041015625</v>
      </c>
      <c r="L85">
        <f t="shared" si="7"/>
        <v>3.6784616696708854</v>
      </c>
      <c r="M85">
        <f t="shared" si="8"/>
        <v>3.0950151319812993</v>
      </c>
      <c r="N85">
        <f t="shared" si="9"/>
        <v>0.5834465376895861</v>
      </c>
    </row>
    <row r="86" spans="2:14" x14ac:dyDescent="0.55000000000000004">
      <c r="B86" t="s">
        <v>6</v>
      </c>
      <c r="C86" t="s">
        <v>7</v>
      </c>
      <c r="D86">
        <v>82</v>
      </c>
      <c r="E86">
        <f t="shared" si="6"/>
        <v>70.747132046799663</v>
      </c>
      <c r="F86">
        <v>15</v>
      </c>
      <c r="G86">
        <v>75</v>
      </c>
      <c r="H86">
        <f t="shared" si="10"/>
        <v>120.96748352050781</v>
      </c>
      <c r="L86">
        <f t="shared" si="7"/>
        <v>4.2591119992607291</v>
      </c>
      <c r="M86">
        <f t="shared" si="8"/>
        <v>3.0950151319812993</v>
      </c>
      <c r="N86">
        <f t="shared" si="9"/>
        <v>1.1640968672794298</v>
      </c>
    </row>
    <row r="87" spans="2:14" x14ac:dyDescent="0.55000000000000004">
      <c r="B87" t="s">
        <v>6</v>
      </c>
      <c r="C87" t="s">
        <v>7</v>
      </c>
      <c r="D87">
        <v>83</v>
      </c>
      <c r="E87">
        <f t="shared" si="6"/>
        <v>94.579160780243029</v>
      </c>
      <c r="F87">
        <v>15</v>
      </c>
      <c r="G87">
        <v>75</v>
      </c>
      <c r="H87">
        <f t="shared" si="10"/>
        <v>135.48374176025391</v>
      </c>
      <c r="L87">
        <f t="shared" si="7"/>
        <v>4.549437164055651</v>
      </c>
      <c r="M87">
        <f t="shared" si="8"/>
        <v>3.0950151319812993</v>
      </c>
      <c r="N87">
        <f t="shared" si="9"/>
        <v>1.4544220320743517</v>
      </c>
    </row>
    <row r="88" spans="2:14" x14ac:dyDescent="0.55000000000000004">
      <c r="B88" t="s">
        <v>6</v>
      </c>
      <c r="C88" t="s">
        <v>7</v>
      </c>
      <c r="D88">
        <v>84</v>
      </c>
      <c r="E88">
        <f t="shared" si="6"/>
        <v>24.400405388724106</v>
      </c>
      <c r="F88">
        <v>15</v>
      </c>
      <c r="G88">
        <v>0</v>
      </c>
      <c r="H88">
        <f t="shared" si="10"/>
        <v>67.741870880126953</v>
      </c>
      <c r="L88">
        <f t="shared" si="7"/>
        <v>3.194599746453112</v>
      </c>
      <c r="M88">
        <f t="shared" si="8"/>
        <v>3.0950151319812993</v>
      </c>
      <c r="N88">
        <f t="shared" si="9"/>
        <v>9.958461447181266E-2</v>
      </c>
    </row>
    <row r="89" spans="2:14" x14ac:dyDescent="0.55000000000000004">
      <c r="B89" t="s">
        <v>6</v>
      </c>
      <c r="C89" t="s">
        <v>7</v>
      </c>
      <c r="D89">
        <v>85</v>
      </c>
      <c r="E89">
        <f t="shared" si="6"/>
        <v>12.39361025339741</v>
      </c>
      <c r="F89">
        <v>15</v>
      </c>
      <c r="G89">
        <v>0</v>
      </c>
      <c r="H89">
        <f t="shared" si="10"/>
        <v>33.870935440063477</v>
      </c>
      <c r="L89">
        <f t="shared" si="7"/>
        <v>2.5171810376518424</v>
      </c>
      <c r="M89">
        <f t="shared" si="8"/>
        <v>3.0950151319812993</v>
      </c>
      <c r="N89">
        <f t="shared" si="9"/>
        <v>-0.57783409432945687</v>
      </c>
    </row>
    <row r="90" spans="2:14" x14ac:dyDescent="0.55000000000000004">
      <c r="B90" t="s">
        <v>6</v>
      </c>
      <c r="C90" t="s">
        <v>7</v>
      </c>
      <c r="D90">
        <v>86</v>
      </c>
      <c r="E90">
        <f t="shared" si="6"/>
        <v>39.585848102976996</v>
      </c>
      <c r="F90">
        <v>15</v>
      </c>
      <c r="G90">
        <v>75</v>
      </c>
      <c r="H90">
        <f t="shared" si="10"/>
        <v>91.935467720031738</v>
      </c>
      <c r="L90">
        <f t="shared" si="7"/>
        <v>3.6784716832512077</v>
      </c>
      <c r="M90">
        <f t="shared" si="8"/>
        <v>3.0950151319812993</v>
      </c>
      <c r="N90">
        <f t="shared" si="9"/>
        <v>0.58345655126990836</v>
      </c>
    </row>
    <row r="91" spans="2:14" x14ac:dyDescent="0.55000000000000004">
      <c r="B91" t="s">
        <v>6</v>
      </c>
      <c r="C91" t="s">
        <v>7</v>
      </c>
      <c r="D91">
        <v>87</v>
      </c>
      <c r="E91">
        <f t="shared" si="6"/>
        <v>70.747486263731076</v>
      </c>
      <c r="F91">
        <v>15</v>
      </c>
      <c r="G91">
        <v>75</v>
      </c>
      <c r="H91">
        <f t="shared" si="10"/>
        <v>120.96773386001587</v>
      </c>
      <c r="L91">
        <f t="shared" si="7"/>
        <v>4.2591170060508903</v>
      </c>
      <c r="M91">
        <f t="shared" si="8"/>
        <v>3.0950151319812993</v>
      </c>
      <c r="N91">
        <f t="shared" si="9"/>
        <v>1.164101874069591</v>
      </c>
    </row>
    <row r="92" spans="2:14" x14ac:dyDescent="0.55000000000000004">
      <c r="B92" t="s">
        <v>6</v>
      </c>
      <c r="C92" t="s">
        <v>7</v>
      </c>
      <c r="D92">
        <v>88</v>
      </c>
      <c r="E92">
        <f t="shared" si="6"/>
        <v>94.579397549545206</v>
      </c>
      <c r="F92">
        <v>15</v>
      </c>
      <c r="G92">
        <v>75</v>
      </c>
      <c r="H92">
        <f t="shared" si="10"/>
        <v>135.48386693000793</v>
      </c>
      <c r="L92">
        <f t="shared" si="7"/>
        <v>4.5494396674507316</v>
      </c>
      <c r="M92">
        <f t="shared" si="8"/>
        <v>3.0950151319812993</v>
      </c>
      <c r="N92">
        <f t="shared" si="9"/>
        <v>1.4544245354694323</v>
      </c>
    </row>
    <row r="93" spans="2:14" x14ac:dyDescent="0.55000000000000004">
      <c r="B93" t="s">
        <v>6</v>
      </c>
      <c r="C93" t="s">
        <v>7</v>
      </c>
      <c r="D93">
        <v>89</v>
      </c>
      <c r="E93">
        <f t="shared" si="6"/>
        <v>24.400435930670628</v>
      </c>
      <c r="F93">
        <v>15</v>
      </c>
      <c r="G93">
        <v>0</v>
      </c>
      <c r="H93">
        <f t="shared" si="10"/>
        <v>67.741933465003967</v>
      </c>
      <c r="L93">
        <f t="shared" si="7"/>
        <v>3.1946009981506522</v>
      </c>
      <c r="M93">
        <f t="shared" si="8"/>
        <v>3.0950151319812993</v>
      </c>
      <c r="N93">
        <f t="shared" si="9"/>
        <v>9.9585866169352943E-2</v>
      </c>
    </row>
    <row r="94" spans="2:14" x14ac:dyDescent="0.55000000000000004">
      <c r="B94" t="s">
        <v>6</v>
      </c>
      <c r="C94" t="s">
        <v>7</v>
      </c>
      <c r="D94">
        <v>90</v>
      </c>
      <c r="E94">
        <f t="shared" si="6"/>
        <v>16.199071488607149</v>
      </c>
      <c r="F94">
        <v>12</v>
      </c>
      <c r="G94">
        <v>0</v>
      </c>
      <c r="H94">
        <f t="shared" si="10"/>
        <v>33.870966732501984</v>
      </c>
      <c r="L94">
        <f t="shared" si="7"/>
        <v>2.784953925077664</v>
      </c>
      <c r="M94">
        <f t="shared" si="8"/>
        <v>3.0950151319812993</v>
      </c>
      <c r="N94">
        <f t="shared" si="9"/>
        <v>-0.31006120690363526</v>
      </c>
    </row>
    <row r="95" spans="2:14" x14ac:dyDescent="0.55000000000000004">
      <c r="B95" t="s">
        <v>6</v>
      </c>
      <c r="C95" t="s">
        <v>7</v>
      </c>
      <c r="D95">
        <v>91</v>
      </c>
      <c r="E95">
        <f t="shared" si="6"/>
        <v>51.74067681509564</v>
      </c>
      <c r="F95">
        <v>12</v>
      </c>
      <c r="G95">
        <v>75</v>
      </c>
      <c r="H95">
        <f t="shared" si="10"/>
        <v>91.935483366250992</v>
      </c>
      <c r="L95">
        <f t="shared" si="7"/>
        <v>3.9462442577526442</v>
      </c>
      <c r="M95">
        <f t="shared" si="8"/>
        <v>3.0950151319812993</v>
      </c>
      <c r="N95">
        <f t="shared" si="9"/>
        <v>0.85122912577134491</v>
      </c>
    </row>
    <row r="96" spans="2:14" x14ac:dyDescent="0.55000000000000004">
      <c r="B96" t="s">
        <v>6</v>
      </c>
      <c r="C96" t="s">
        <v>7</v>
      </c>
      <c r="D96">
        <v>92</v>
      </c>
      <c r="E96">
        <f t="shared" si="6"/>
        <v>20.632952302481655</v>
      </c>
      <c r="F96">
        <v>12</v>
      </c>
      <c r="G96">
        <v>0</v>
      </c>
      <c r="H96">
        <f t="shared" si="10"/>
        <v>45.967741683125496</v>
      </c>
      <c r="L96">
        <f t="shared" si="7"/>
        <v>3.0268894240901343</v>
      </c>
      <c r="M96">
        <f t="shared" si="8"/>
        <v>3.0950151319812993</v>
      </c>
      <c r="N96">
        <f t="shared" si="9"/>
        <v>-6.812570789116501E-2</v>
      </c>
    </row>
    <row r="97" spans="2:14" x14ac:dyDescent="0.55000000000000004">
      <c r="B97" t="s">
        <v>6</v>
      </c>
      <c r="C97" t="s">
        <v>7</v>
      </c>
      <c r="D97">
        <v>93</v>
      </c>
      <c r="E97">
        <f t="shared" si="6"/>
        <v>13.029447749774633</v>
      </c>
      <c r="F97">
        <v>12</v>
      </c>
      <c r="G97">
        <v>0</v>
      </c>
      <c r="H97">
        <f t="shared" si="10"/>
        <v>22.983870841562748</v>
      </c>
      <c r="L97">
        <f t="shared" si="7"/>
        <v>2.5672120072588793</v>
      </c>
      <c r="M97">
        <f t="shared" si="8"/>
        <v>3.0950151319812993</v>
      </c>
      <c r="N97">
        <f t="shared" si="9"/>
        <v>-0.52780312472241997</v>
      </c>
    </row>
    <row r="98" spans="2:14" x14ac:dyDescent="0.55000000000000004">
      <c r="B98" t="s">
        <v>6</v>
      </c>
      <c r="C98" t="s">
        <v>7</v>
      </c>
      <c r="D98">
        <v>94</v>
      </c>
      <c r="E98">
        <f t="shared" si="6"/>
        <v>10.354003938284865</v>
      </c>
      <c r="F98">
        <v>12</v>
      </c>
      <c r="G98">
        <v>0</v>
      </c>
      <c r="H98">
        <f t="shared" si="10"/>
        <v>11.491935420781374</v>
      </c>
      <c r="L98">
        <f t="shared" si="7"/>
        <v>2.3373732988432518</v>
      </c>
      <c r="M98">
        <f t="shared" si="8"/>
        <v>3.0950151319812993</v>
      </c>
      <c r="N98">
        <f t="shared" si="9"/>
        <v>-0.75764183313804745</v>
      </c>
    </row>
    <row r="99" spans="2:14" x14ac:dyDescent="0.55000000000000004">
      <c r="B99" t="s">
        <v>6</v>
      </c>
      <c r="C99" t="s">
        <v>7</v>
      </c>
      <c r="D99">
        <v>95</v>
      </c>
      <c r="E99">
        <f t="shared" si="6"/>
        <v>9.2299528913140705</v>
      </c>
      <c r="F99">
        <v>12</v>
      </c>
      <c r="G99">
        <v>0</v>
      </c>
      <c r="H99">
        <f t="shared" si="10"/>
        <v>5.745967710390687</v>
      </c>
      <c r="L99">
        <f t="shared" si="7"/>
        <v>2.2224539446354381</v>
      </c>
      <c r="M99">
        <f t="shared" si="8"/>
        <v>3.0950151319812993</v>
      </c>
      <c r="N99">
        <f t="shared" si="9"/>
        <v>-0.87256118734586119</v>
      </c>
    </row>
    <row r="100" spans="2:14" x14ac:dyDescent="0.55000000000000004">
      <c r="B100" t="s">
        <v>6</v>
      </c>
      <c r="C100" t="s">
        <v>7</v>
      </c>
      <c r="D100">
        <v>96</v>
      </c>
      <c r="E100">
        <f t="shared" si="6"/>
        <v>8.7145519608137203</v>
      </c>
      <c r="F100">
        <v>12</v>
      </c>
      <c r="G100">
        <v>0</v>
      </c>
      <c r="H100">
        <f t="shared" si="10"/>
        <v>2.8729838551953435</v>
      </c>
      <c r="L100">
        <f t="shared" si="7"/>
        <v>2.1649942675315312</v>
      </c>
      <c r="M100">
        <f t="shared" si="8"/>
        <v>3.0950151319812993</v>
      </c>
      <c r="N100">
        <f t="shared" si="9"/>
        <v>-0.93002086444976806</v>
      </c>
    </row>
    <row r="101" spans="2:14" x14ac:dyDescent="0.55000000000000004">
      <c r="B101" t="s">
        <v>6</v>
      </c>
      <c r="C101" t="s">
        <v>7</v>
      </c>
      <c r="D101">
        <v>97</v>
      </c>
      <c r="E101">
        <f t="shared" ref="E101:E132" si="11">EXP(2-1.2*(LN(F101)-LN(AVERAGE(F:F)))+0.02*H101)</f>
        <v>8.4677466048778829</v>
      </c>
      <c r="F101">
        <v>12</v>
      </c>
      <c r="G101">
        <v>0</v>
      </c>
      <c r="H101">
        <f t="shared" si="10"/>
        <v>1.4364919275976717</v>
      </c>
      <c r="L101">
        <f t="shared" si="7"/>
        <v>2.1362644289795778</v>
      </c>
      <c r="M101">
        <f t="shared" si="8"/>
        <v>3.0950151319812993</v>
      </c>
      <c r="N101">
        <f t="shared" si="9"/>
        <v>-0.95875070300172149</v>
      </c>
    </row>
    <row r="102" spans="2:14" x14ac:dyDescent="0.55000000000000004">
      <c r="B102" t="s">
        <v>6</v>
      </c>
      <c r="C102" t="s">
        <v>7</v>
      </c>
      <c r="D102">
        <v>98</v>
      </c>
      <c r="E102">
        <f t="shared" si="11"/>
        <v>8.2279310384335211</v>
      </c>
      <c r="F102">
        <v>12</v>
      </c>
      <c r="G102">
        <v>0</v>
      </c>
      <c r="H102">
        <f t="shared" si="10"/>
        <v>0</v>
      </c>
      <c r="L102">
        <f t="shared" si="7"/>
        <v>2.1075345904276244</v>
      </c>
      <c r="M102">
        <f t="shared" si="8"/>
        <v>3.0950151319812993</v>
      </c>
      <c r="N102">
        <f t="shared" si="9"/>
        <v>-0.98748054155367493</v>
      </c>
    </row>
    <row r="103" spans="2:14" x14ac:dyDescent="0.55000000000000004">
      <c r="B103" t="s">
        <v>6</v>
      </c>
      <c r="C103" t="s">
        <v>7</v>
      </c>
      <c r="D103">
        <v>99</v>
      </c>
      <c r="E103">
        <f t="shared" si="11"/>
        <v>8.2279310384335211</v>
      </c>
      <c r="F103">
        <v>12</v>
      </c>
      <c r="G103">
        <v>0</v>
      </c>
      <c r="H103">
        <f t="shared" si="10"/>
        <v>0</v>
      </c>
      <c r="L103">
        <f t="shared" si="7"/>
        <v>2.1075345904276244</v>
      </c>
      <c r="M103">
        <f t="shared" si="8"/>
        <v>3.0950151319812993</v>
      </c>
      <c r="N103">
        <f t="shared" si="9"/>
        <v>-0.98748054155367493</v>
      </c>
    </row>
    <row r="104" spans="2:14" x14ac:dyDescent="0.55000000000000004">
      <c r="B104" t="s">
        <v>6</v>
      </c>
      <c r="C104" t="s">
        <v>7</v>
      </c>
      <c r="D104">
        <v>100</v>
      </c>
      <c r="E104">
        <f t="shared" si="11"/>
        <v>8.2279310384335211</v>
      </c>
      <c r="F104">
        <v>12</v>
      </c>
      <c r="G104">
        <v>0</v>
      </c>
      <c r="H104">
        <f t="shared" si="10"/>
        <v>0</v>
      </c>
      <c r="L104">
        <f t="shared" si="7"/>
        <v>2.1075345904276244</v>
      </c>
      <c r="M104">
        <f t="shared" si="8"/>
        <v>3.0950151319812993</v>
      </c>
      <c r="N104">
        <f t="shared" si="9"/>
        <v>-0.98748054155367493</v>
      </c>
    </row>
    <row r="105" spans="2:14" x14ac:dyDescent="0.55000000000000004">
      <c r="B105" t="s">
        <v>6</v>
      </c>
      <c r="C105" t="s">
        <v>7</v>
      </c>
      <c r="D105">
        <v>101</v>
      </c>
      <c r="E105">
        <f t="shared" si="11"/>
        <v>8.2279310384335211</v>
      </c>
      <c r="F105">
        <v>12</v>
      </c>
      <c r="G105">
        <v>0</v>
      </c>
      <c r="H105">
        <f t="shared" si="10"/>
        <v>0</v>
      </c>
      <c r="L105">
        <f t="shared" si="7"/>
        <v>2.1075345904276244</v>
      </c>
      <c r="M105">
        <f t="shared" si="8"/>
        <v>3.0950151319812993</v>
      </c>
      <c r="N105">
        <f t="shared" si="9"/>
        <v>-0.98748054155367493</v>
      </c>
    </row>
    <row r="106" spans="2:14" x14ac:dyDescent="0.55000000000000004">
      <c r="B106" t="s">
        <v>6</v>
      </c>
      <c r="C106" t="s">
        <v>7</v>
      </c>
      <c r="D106">
        <v>102</v>
      </c>
      <c r="E106">
        <f t="shared" si="11"/>
        <v>8.2279310384335211</v>
      </c>
      <c r="F106">
        <v>12</v>
      </c>
      <c r="G106">
        <v>0</v>
      </c>
      <c r="H106">
        <f t="shared" si="10"/>
        <v>0</v>
      </c>
      <c r="L106">
        <f t="shared" si="7"/>
        <v>2.1075345904276244</v>
      </c>
      <c r="M106">
        <f t="shared" si="8"/>
        <v>3.0950151319812993</v>
      </c>
      <c r="N106">
        <f t="shared" si="9"/>
        <v>-0.98748054155367493</v>
      </c>
    </row>
    <row r="107" spans="2:14" x14ac:dyDescent="0.55000000000000004">
      <c r="B107" t="s">
        <v>6</v>
      </c>
      <c r="C107" t="s">
        <v>7</v>
      </c>
      <c r="D107">
        <v>103</v>
      </c>
      <c r="E107">
        <f t="shared" si="11"/>
        <v>8.2279310384335211</v>
      </c>
      <c r="F107">
        <v>12</v>
      </c>
      <c r="G107">
        <v>0</v>
      </c>
      <c r="H107">
        <f t="shared" si="10"/>
        <v>0</v>
      </c>
      <c r="L107">
        <f t="shared" si="7"/>
        <v>2.1075345904276244</v>
      </c>
      <c r="M107">
        <f t="shared" si="8"/>
        <v>3.0950151319812993</v>
      </c>
      <c r="N107">
        <f t="shared" si="9"/>
        <v>-0.98748054155367493</v>
      </c>
    </row>
    <row r="108" spans="2:14" x14ac:dyDescent="0.55000000000000004">
      <c r="B108" t="s">
        <v>6</v>
      </c>
      <c r="C108" t="s">
        <v>7</v>
      </c>
      <c r="D108">
        <v>104</v>
      </c>
      <c r="E108">
        <f t="shared" si="11"/>
        <v>8.2279310384335211</v>
      </c>
      <c r="F108">
        <v>12</v>
      </c>
      <c r="G108">
        <v>0</v>
      </c>
      <c r="H108">
        <f t="shared" si="10"/>
        <v>0</v>
      </c>
      <c r="L108">
        <f t="shared" si="7"/>
        <v>2.1075345904276244</v>
      </c>
      <c r="M108">
        <f t="shared" si="8"/>
        <v>3.0950151319812993</v>
      </c>
      <c r="N108">
        <f t="shared" si="9"/>
        <v>-0.98748054155367493</v>
      </c>
    </row>
    <row r="109" spans="2:14" x14ac:dyDescent="0.55000000000000004">
      <c r="B109" t="s">
        <v>8</v>
      </c>
      <c r="C109" t="s">
        <v>7</v>
      </c>
      <c r="D109">
        <v>1</v>
      </c>
      <c r="E109">
        <f t="shared" ref="E109:E140" si="12">EXP(3-1.2*(LN(F109)-LN(AVERAGE(F:F)))+0.02*H109)</f>
        <v>27.835730314941824</v>
      </c>
      <c r="F109">
        <v>10</v>
      </c>
      <c r="G109">
        <v>0</v>
      </c>
      <c r="H109">
        <f>G109</f>
        <v>0</v>
      </c>
      <c r="L109">
        <f t="shared" si="7"/>
        <v>3.3263204585803696</v>
      </c>
      <c r="M109">
        <f>AVERAGE($L$109:$L$212)</f>
        <v>4.0950151319812944</v>
      </c>
      <c r="N109">
        <f t="shared" si="9"/>
        <v>-0.76869467340092479</v>
      </c>
    </row>
    <row r="110" spans="2:14" x14ac:dyDescent="0.55000000000000004">
      <c r="B110" t="s">
        <v>8</v>
      </c>
      <c r="C110" t="s">
        <v>7</v>
      </c>
      <c r="D110">
        <v>2</v>
      </c>
      <c r="E110">
        <f t="shared" si="12"/>
        <v>27.835730314941824</v>
      </c>
      <c r="F110">
        <v>10</v>
      </c>
      <c r="G110">
        <v>0</v>
      </c>
      <c r="H110">
        <f>IF(H109*0.5&gt;1,G110+H109*0.5,G110)</f>
        <v>0</v>
      </c>
      <c r="L110">
        <f t="shared" si="7"/>
        <v>3.3263204585803696</v>
      </c>
      <c r="M110">
        <f t="shared" ref="M110:M173" si="13">AVERAGE($L$109:$L$212)</f>
        <v>4.0950151319812944</v>
      </c>
      <c r="N110">
        <f t="shared" si="9"/>
        <v>-0.76869467340092479</v>
      </c>
    </row>
    <row r="111" spans="2:14" x14ac:dyDescent="0.55000000000000004">
      <c r="B111" t="s">
        <v>8</v>
      </c>
      <c r="C111" t="s">
        <v>7</v>
      </c>
      <c r="D111">
        <v>3</v>
      </c>
      <c r="E111">
        <f t="shared" si="12"/>
        <v>27.835730314941824</v>
      </c>
      <c r="F111">
        <v>10</v>
      </c>
      <c r="G111">
        <v>0</v>
      </c>
      <c r="H111">
        <f t="shared" ref="H111:H174" si="14">IF(H110*0.5&gt;1,G111+H110*0.5,G111)</f>
        <v>0</v>
      </c>
      <c r="L111">
        <f t="shared" si="7"/>
        <v>3.3263204585803696</v>
      </c>
      <c r="M111">
        <f t="shared" si="13"/>
        <v>4.0950151319812944</v>
      </c>
      <c r="N111">
        <f t="shared" si="9"/>
        <v>-0.76869467340092479</v>
      </c>
    </row>
    <row r="112" spans="2:14" x14ac:dyDescent="0.55000000000000004">
      <c r="B112" t="s">
        <v>8</v>
      </c>
      <c r="C112" t="s">
        <v>7</v>
      </c>
      <c r="D112">
        <v>4</v>
      </c>
      <c r="E112">
        <f t="shared" si="12"/>
        <v>27.835730314941824</v>
      </c>
      <c r="F112">
        <v>10</v>
      </c>
      <c r="G112">
        <v>0</v>
      </c>
      <c r="H112">
        <f t="shared" si="14"/>
        <v>0</v>
      </c>
      <c r="L112">
        <f t="shared" si="7"/>
        <v>3.3263204585803696</v>
      </c>
      <c r="M112">
        <f t="shared" si="13"/>
        <v>4.0950151319812944</v>
      </c>
      <c r="N112">
        <f t="shared" si="9"/>
        <v>-0.76869467340092479</v>
      </c>
    </row>
    <row r="113" spans="2:14" x14ac:dyDescent="0.55000000000000004">
      <c r="B113" t="s">
        <v>8</v>
      </c>
      <c r="C113" t="s">
        <v>7</v>
      </c>
      <c r="D113">
        <v>5</v>
      </c>
      <c r="E113">
        <f t="shared" si="12"/>
        <v>27.835730314941824</v>
      </c>
      <c r="F113">
        <v>10</v>
      </c>
      <c r="G113">
        <v>0</v>
      </c>
      <c r="H113">
        <f t="shared" si="14"/>
        <v>0</v>
      </c>
      <c r="L113">
        <f t="shared" si="7"/>
        <v>3.3263204585803696</v>
      </c>
      <c r="M113">
        <f t="shared" si="13"/>
        <v>4.0950151319812944</v>
      </c>
      <c r="N113">
        <f t="shared" si="9"/>
        <v>-0.76869467340092479</v>
      </c>
    </row>
    <row r="114" spans="2:14" x14ac:dyDescent="0.55000000000000004">
      <c r="B114" t="s">
        <v>8</v>
      </c>
      <c r="C114" t="s">
        <v>7</v>
      </c>
      <c r="D114">
        <v>6</v>
      </c>
      <c r="E114">
        <f t="shared" si="12"/>
        <v>27.835730314941824</v>
      </c>
      <c r="F114">
        <v>10</v>
      </c>
      <c r="G114">
        <v>0</v>
      </c>
      <c r="H114">
        <f t="shared" si="14"/>
        <v>0</v>
      </c>
      <c r="L114">
        <f t="shared" si="7"/>
        <v>3.3263204585803696</v>
      </c>
      <c r="M114">
        <f t="shared" si="13"/>
        <v>4.0950151319812944</v>
      </c>
      <c r="N114">
        <f t="shared" si="9"/>
        <v>-0.76869467340092479</v>
      </c>
    </row>
    <row r="115" spans="2:14" x14ac:dyDescent="0.55000000000000004">
      <c r="B115" t="s">
        <v>8</v>
      </c>
      <c r="C115" t="s">
        <v>7</v>
      </c>
      <c r="D115">
        <v>7</v>
      </c>
      <c r="E115">
        <f t="shared" si="12"/>
        <v>27.835730314941824</v>
      </c>
      <c r="F115">
        <v>10</v>
      </c>
      <c r="G115">
        <v>0</v>
      </c>
      <c r="H115">
        <f t="shared" si="14"/>
        <v>0</v>
      </c>
      <c r="L115">
        <f t="shared" si="7"/>
        <v>3.3263204585803696</v>
      </c>
      <c r="M115">
        <f t="shared" si="13"/>
        <v>4.0950151319812944</v>
      </c>
      <c r="N115">
        <f t="shared" si="9"/>
        <v>-0.76869467340092479</v>
      </c>
    </row>
    <row r="116" spans="2:14" x14ac:dyDescent="0.55000000000000004">
      <c r="B116" t="s">
        <v>8</v>
      </c>
      <c r="C116" t="s">
        <v>7</v>
      </c>
      <c r="D116">
        <v>8</v>
      </c>
      <c r="E116">
        <f t="shared" si="12"/>
        <v>27.835730314941824</v>
      </c>
      <c r="F116">
        <v>10</v>
      </c>
      <c r="G116">
        <v>0</v>
      </c>
      <c r="H116">
        <f t="shared" si="14"/>
        <v>0</v>
      </c>
      <c r="L116">
        <f t="shared" si="7"/>
        <v>3.3263204585803696</v>
      </c>
      <c r="M116">
        <f t="shared" si="13"/>
        <v>4.0950151319812944</v>
      </c>
      <c r="N116">
        <f t="shared" si="9"/>
        <v>-0.76869467340092479</v>
      </c>
    </row>
    <row r="117" spans="2:14" x14ac:dyDescent="0.55000000000000004">
      <c r="B117" t="s">
        <v>8</v>
      </c>
      <c r="C117" t="s">
        <v>7</v>
      </c>
      <c r="D117">
        <v>9</v>
      </c>
      <c r="E117">
        <f t="shared" si="12"/>
        <v>27.835730314941824</v>
      </c>
      <c r="F117">
        <v>10</v>
      </c>
      <c r="G117">
        <v>0</v>
      </c>
      <c r="H117">
        <f t="shared" si="14"/>
        <v>0</v>
      </c>
      <c r="L117">
        <f t="shared" si="7"/>
        <v>3.3263204585803696</v>
      </c>
      <c r="M117">
        <f t="shared" si="13"/>
        <v>4.0950151319812944</v>
      </c>
      <c r="N117">
        <f t="shared" si="9"/>
        <v>-0.76869467340092479</v>
      </c>
    </row>
    <row r="118" spans="2:14" x14ac:dyDescent="0.55000000000000004">
      <c r="B118" t="s">
        <v>8</v>
      </c>
      <c r="C118" t="s">
        <v>7</v>
      </c>
      <c r="D118">
        <v>10</v>
      </c>
      <c r="E118">
        <f t="shared" si="12"/>
        <v>27.835730314941824</v>
      </c>
      <c r="F118">
        <v>10</v>
      </c>
      <c r="G118">
        <v>0</v>
      </c>
      <c r="H118">
        <f t="shared" si="14"/>
        <v>0</v>
      </c>
      <c r="L118">
        <f t="shared" si="7"/>
        <v>3.3263204585803696</v>
      </c>
      <c r="M118">
        <f t="shared" si="13"/>
        <v>4.0950151319812944</v>
      </c>
      <c r="N118">
        <f t="shared" si="9"/>
        <v>-0.76869467340092479</v>
      </c>
    </row>
    <row r="119" spans="2:14" x14ac:dyDescent="0.55000000000000004">
      <c r="B119" t="s">
        <v>8</v>
      </c>
      <c r="C119" t="s">
        <v>7</v>
      </c>
      <c r="D119">
        <v>11</v>
      </c>
      <c r="E119">
        <f t="shared" si="12"/>
        <v>27.835730314941824</v>
      </c>
      <c r="F119">
        <v>10</v>
      </c>
      <c r="G119">
        <v>0</v>
      </c>
      <c r="H119">
        <f t="shared" si="14"/>
        <v>0</v>
      </c>
      <c r="L119">
        <f t="shared" si="7"/>
        <v>3.3263204585803696</v>
      </c>
      <c r="M119">
        <f t="shared" si="13"/>
        <v>4.0950151319812944</v>
      </c>
      <c r="N119">
        <f t="shared" si="9"/>
        <v>-0.76869467340092479</v>
      </c>
    </row>
    <row r="120" spans="2:14" x14ac:dyDescent="0.55000000000000004">
      <c r="B120" t="s">
        <v>8</v>
      </c>
      <c r="C120" t="s">
        <v>7</v>
      </c>
      <c r="D120">
        <v>12</v>
      </c>
      <c r="E120">
        <f t="shared" si="12"/>
        <v>27.835730314941824</v>
      </c>
      <c r="F120">
        <v>10</v>
      </c>
      <c r="G120">
        <v>0</v>
      </c>
      <c r="H120">
        <f t="shared" si="14"/>
        <v>0</v>
      </c>
      <c r="L120">
        <f t="shared" si="7"/>
        <v>3.3263204585803696</v>
      </c>
      <c r="M120">
        <f t="shared" si="13"/>
        <v>4.0950151319812944</v>
      </c>
      <c r="N120">
        <f t="shared" si="9"/>
        <v>-0.76869467340092479</v>
      </c>
    </row>
    <row r="121" spans="2:14" x14ac:dyDescent="0.55000000000000004">
      <c r="B121" t="s">
        <v>8</v>
      </c>
      <c r="C121" t="s">
        <v>7</v>
      </c>
      <c r="D121">
        <v>13</v>
      </c>
      <c r="E121">
        <f t="shared" si="12"/>
        <v>27.835730314941824</v>
      </c>
      <c r="F121">
        <v>10</v>
      </c>
      <c r="G121">
        <v>0</v>
      </c>
      <c r="H121">
        <f t="shared" si="14"/>
        <v>0</v>
      </c>
      <c r="L121">
        <f t="shared" si="7"/>
        <v>3.3263204585803696</v>
      </c>
      <c r="M121">
        <f t="shared" si="13"/>
        <v>4.0950151319812944</v>
      </c>
      <c r="N121">
        <f t="shared" si="9"/>
        <v>-0.76869467340092479</v>
      </c>
    </row>
    <row r="122" spans="2:14" x14ac:dyDescent="0.55000000000000004">
      <c r="B122" t="s">
        <v>8</v>
      </c>
      <c r="C122" t="s">
        <v>7</v>
      </c>
      <c r="D122">
        <v>14</v>
      </c>
      <c r="E122">
        <f t="shared" si="12"/>
        <v>205.67977285180959</v>
      </c>
      <c r="F122">
        <v>10</v>
      </c>
      <c r="G122">
        <v>100</v>
      </c>
      <c r="H122">
        <f t="shared" si="14"/>
        <v>100</v>
      </c>
      <c r="L122">
        <f t="shared" si="7"/>
        <v>5.3263204585803692</v>
      </c>
      <c r="M122">
        <f t="shared" si="13"/>
        <v>4.0950151319812944</v>
      </c>
      <c r="N122">
        <f t="shared" si="9"/>
        <v>1.2313053265990748</v>
      </c>
    </row>
    <row r="123" spans="2:14" x14ac:dyDescent="0.55000000000000004">
      <c r="B123" t="s">
        <v>8</v>
      </c>
      <c r="C123" t="s">
        <v>7</v>
      </c>
      <c r="D123">
        <v>15</v>
      </c>
      <c r="E123">
        <f t="shared" si="12"/>
        <v>559.09558902465812</v>
      </c>
      <c r="F123">
        <v>10</v>
      </c>
      <c r="G123">
        <v>100</v>
      </c>
      <c r="H123">
        <f t="shared" si="14"/>
        <v>150</v>
      </c>
      <c r="L123">
        <f t="shared" si="7"/>
        <v>6.3263204585803692</v>
      </c>
      <c r="M123">
        <f t="shared" si="13"/>
        <v>4.0950151319812944</v>
      </c>
      <c r="N123">
        <f t="shared" si="9"/>
        <v>2.2313053265990748</v>
      </c>
    </row>
    <row r="124" spans="2:14" x14ac:dyDescent="0.55000000000000004">
      <c r="B124" t="s">
        <v>8</v>
      </c>
      <c r="C124" t="s">
        <v>7</v>
      </c>
      <c r="D124">
        <v>16</v>
      </c>
      <c r="E124">
        <f t="shared" si="12"/>
        <v>921.7927899795709</v>
      </c>
      <c r="F124">
        <v>10</v>
      </c>
      <c r="G124">
        <v>100</v>
      </c>
      <c r="H124">
        <f t="shared" si="14"/>
        <v>175</v>
      </c>
      <c r="L124">
        <f t="shared" si="7"/>
        <v>6.8263204585803692</v>
      </c>
      <c r="M124">
        <f t="shared" si="13"/>
        <v>4.0950151319812944</v>
      </c>
      <c r="N124">
        <f t="shared" si="9"/>
        <v>2.7313053265990748</v>
      </c>
    </row>
    <row r="125" spans="2:14" x14ac:dyDescent="0.55000000000000004">
      <c r="B125" t="s">
        <v>8</v>
      </c>
      <c r="C125" t="s">
        <v>7</v>
      </c>
      <c r="D125">
        <v>17</v>
      </c>
      <c r="E125">
        <f t="shared" si="12"/>
        <v>160.18356815893799</v>
      </c>
      <c r="F125">
        <v>10</v>
      </c>
      <c r="G125">
        <v>0</v>
      </c>
      <c r="H125">
        <f t="shared" si="14"/>
        <v>87.5</v>
      </c>
      <c r="L125">
        <f t="shared" si="7"/>
        <v>5.0763204585803692</v>
      </c>
      <c r="M125">
        <f t="shared" si="13"/>
        <v>4.0950151319812944</v>
      </c>
      <c r="N125">
        <f t="shared" si="9"/>
        <v>0.98130532659907477</v>
      </c>
    </row>
    <row r="126" spans="2:14" x14ac:dyDescent="0.55000000000000004">
      <c r="B126" t="s">
        <v>8</v>
      </c>
      <c r="C126" t="s">
        <v>7</v>
      </c>
      <c r="D126">
        <v>18</v>
      </c>
      <c r="E126">
        <f t="shared" si="12"/>
        <v>66.774445742044904</v>
      </c>
      <c r="F126">
        <v>10</v>
      </c>
      <c r="G126">
        <v>0</v>
      </c>
      <c r="H126">
        <f t="shared" si="14"/>
        <v>43.75</v>
      </c>
      <c r="L126">
        <f t="shared" si="7"/>
        <v>4.2013204585803692</v>
      </c>
      <c r="M126">
        <f t="shared" si="13"/>
        <v>4.0950151319812944</v>
      </c>
      <c r="N126">
        <f t="shared" si="9"/>
        <v>0.10630532659907477</v>
      </c>
    </row>
    <row r="127" spans="2:14" x14ac:dyDescent="0.55000000000000004">
      <c r="B127" t="s">
        <v>8</v>
      </c>
      <c r="C127" t="s">
        <v>7</v>
      </c>
      <c r="D127">
        <v>19</v>
      </c>
      <c r="E127">
        <f t="shared" si="12"/>
        <v>318.56306400906891</v>
      </c>
      <c r="F127">
        <v>10</v>
      </c>
      <c r="G127">
        <v>100</v>
      </c>
      <c r="H127">
        <f t="shared" si="14"/>
        <v>121.875</v>
      </c>
      <c r="L127">
        <f t="shared" si="7"/>
        <v>5.7638204585803692</v>
      </c>
      <c r="M127">
        <f t="shared" si="13"/>
        <v>4.0950151319812944</v>
      </c>
      <c r="N127">
        <f t="shared" si="9"/>
        <v>1.6688053265990748</v>
      </c>
    </row>
    <row r="128" spans="2:14" x14ac:dyDescent="0.55000000000000004">
      <c r="B128" t="s">
        <v>8</v>
      </c>
      <c r="C128" t="s">
        <v>7</v>
      </c>
      <c r="D128">
        <v>20</v>
      </c>
      <c r="E128">
        <f t="shared" si="12"/>
        <v>695.80570270451585</v>
      </c>
      <c r="F128">
        <v>10</v>
      </c>
      <c r="G128">
        <v>100</v>
      </c>
      <c r="H128">
        <f t="shared" si="14"/>
        <v>160.9375</v>
      </c>
      <c r="L128">
        <f t="shared" si="7"/>
        <v>6.5450704585803692</v>
      </c>
      <c r="M128">
        <f t="shared" si="13"/>
        <v>4.0950151319812944</v>
      </c>
      <c r="N128">
        <f t="shared" si="9"/>
        <v>2.4500553265990748</v>
      </c>
    </row>
    <row r="129" spans="2:14" x14ac:dyDescent="0.55000000000000004">
      <c r="B129" t="s">
        <v>8</v>
      </c>
      <c r="C129" t="s">
        <v>7</v>
      </c>
      <c r="D129">
        <v>21</v>
      </c>
      <c r="E129">
        <f t="shared" si="12"/>
        <v>1028.334167218417</v>
      </c>
      <c r="F129">
        <v>10</v>
      </c>
      <c r="G129">
        <v>100</v>
      </c>
      <c r="H129">
        <f t="shared" si="14"/>
        <v>180.46875</v>
      </c>
      <c r="L129">
        <f t="shared" si="7"/>
        <v>6.9356954585803692</v>
      </c>
      <c r="M129">
        <f t="shared" si="13"/>
        <v>4.0950151319812944</v>
      </c>
      <c r="N129">
        <f t="shared" si="9"/>
        <v>2.8406803265990748</v>
      </c>
    </row>
    <row r="130" spans="2:14" x14ac:dyDescent="0.55000000000000004">
      <c r="B130" t="s">
        <v>8</v>
      </c>
      <c r="C130" t="s">
        <v>7</v>
      </c>
      <c r="D130">
        <v>22</v>
      </c>
      <c r="E130">
        <f t="shared" si="12"/>
        <v>169.18756618715256</v>
      </c>
      <c r="F130">
        <v>10</v>
      </c>
      <c r="G130">
        <v>0</v>
      </c>
      <c r="H130">
        <f t="shared" si="14"/>
        <v>90.234375</v>
      </c>
      <c r="L130">
        <f t="shared" si="7"/>
        <v>5.1310079585803692</v>
      </c>
      <c r="M130">
        <f t="shared" si="13"/>
        <v>4.0950151319812944</v>
      </c>
      <c r="N130">
        <f t="shared" si="9"/>
        <v>1.0359928265990748</v>
      </c>
    </row>
    <row r="131" spans="2:14" x14ac:dyDescent="0.55000000000000004">
      <c r="B131" t="s">
        <v>8</v>
      </c>
      <c r="C131" t="s">
        <v>7</v>
      </c>
      <c r="D131">
        <v>23</v>
      </c>
      <c r="E131">
        <f t="shared" si="12"/>
        <v>68.625501564847937</v>
      </c>
      <c r="F131">
        <v>10</v>
      </c>
      <c r="G131">
        <v>0</v>
      </c>
      <c r="H131">
        <f t="shared" si="14"/>
        <v>45.1171875</v>
      </c>
      <c r="L131">
        <f t="shared" si="7"/>
        <v>4.2286642085803692</v>
      </c>
      <c r="M131">
        <f t="shared" si="13"/>
        <v>4.0950151319812944</v>
      </c>
      <c r="N131">
        <f t="shared" si="9"/>
        <v>0.13364907659907477</v>
      </c>
    </row>
    <row r="132" spans="2:14" x14ac:dyDescent="0.55000000000000004">
      <c r="B132" t="s">
        <v>8</v>
      </c>
      <c r="C132" t="s">
        <v>7</v>
      </c>
      <c r="D132">
        <v>24</v>
      </c>
      <c r="E132">
        <f t="shared" si="12"/>
        <v>322.94832747918548</v>
      </c>
      <c r="F132">
        <v>10</v>
      </c>
      <c r="G132">
        <v>100</v>
      </c>
      <c r="H132">
        <f t="shared" si="14"/>
        <v>122.55859375</v>
      </c>
      <c r="L132">
        <f t="shared" si="7"/>
        <v>5.7774923335803692</v>
      </c>
      <c r="M132">
        <f t="shared" si="13"/>
        <v>4.0950151319812944</v>
      </c>
      <c r="N132">
        <f t="shared" si="9"/>
        <v>1.6824772015990748</v>
      </c>
    </row>
    <row r="133" spans="2:14" x14ac:dyDescent="0.55000000000000004">
      <c r="B133" t="s">
        <v>8</v>
      </c>
      <c r="C133" t="s">
        <v>7</v>
      </c>
      <c r="D133">
        <v>25</v>
      </c>
      <c r="E133">
        <f t="shared" si="12"/>
        <v>700.5784816235448</v>
      </c>
      <c r="F133">
        <v>10</v>
      </c>
      <c r="G133">
        <v>100</v>
      </c>
      <c r="H133">
        <f t="shared" si="14"/>
        <v>161.279296875</v>
      </c>
      <c r="L133">
        <f t="shared" si="7"/>
        <v>6.5519063960803692</v>
      </c>
      <c r="M133">
        <f t="shared" si="13"/>
        <v>4.0950151319812944</v>
      </c>
      <c r="N133">
        <f t="shared" si="9"/>
        <v>2.4568912640990748</v>
      </c>
    </row>
    <row r="134" spans="2:14" x14ac:dyDescent="0.55000000000000004">
      <c r="B134" t="s">
        <v>8</v>
      </c>
      <c r="C134" t="s">
        <v>7</v>
      </c>
      <c r="D134">
        <v>26</v>
      </c>
      <c r="E134">
        <f t="shared" si="12"/>
        <v>1031.8549948783098</v>
      </c>
      <c r="F134">
        <v>10</v>
      </c>
      <c r="G134">
        <v>100</v>
      </c>
      <c r="H134">
        <f t="shared" si="14"/>
        <v>180.6396484375</v>
      </c>
      <c r="L134">
        <f t="shared" ref="L134:L197" si="15">LN(E134)</f>
        <v>6.9391134273303692</v>
      </c>
      <c r="M134">
        <f t="shared" si="13"/>
        <v>4.0950151319812944</v>
      </c>
      <c r="N134">
        <f t="shared" ref="N134:N197" si="16">L134-M134</f>
        <v>2.8440982953490748</v>
      </c>
    </row>
    <row r="135" spans="2:14" x14ac:dyDescent="0.55000000000000004">
      <c r="B135" t="s">
        <v>8</v>
      </c>
      <c r="C135" t="s">
        <v>7</v>
      </c>
      <c r="D135">
        <v>27</v>
      </c>
      <c r="E135">
        <f t="shared" si="12"/>
        <v>169.47695230195254</v>
      </c>
      <c r="F135">
        <v>10</v>
      </c>
      <c r="G135">
        <v>0</v>
      </c>
      <c r="H135">
        <f t="shared" si="14"/>
        <v>90.31982421875</v>
      </c>
      <c r="L135">
        <f t="shared" si="15"/>
        <v>5.1327169429553692</v>
      </c>
      <c r="M135">
        <f t="shared" si="13"/>
        <v>4.0950151319812944</v>
      </c>
      <c r="N135">
        <f t="shared" si="16"/>
        <v>1.0377018109740748</v>
      </c>
    </row>
    <row r="136" spans="2:14" x14ac:dyDescent="0.55000000000000004">
      <c r="B136" t="s">
        <v>8</v>
      </c>
      <c r="C136" t="s">
        <v>7</v>
      </c>
      <c r="D136">
        <v>28</v>
      </c>
      <c r="E136">
        <f t="shared" si="12"/>
        <v>68.684166580627647</v>
      </c>
      <c r="F136">
        <v>10</v>
      </c>
      <c r="G136">
        <v>0</v>
      </c>
      <c r="H136">
        <f t="shared" si="14"/>
        <v>45.159912109375</v>
      </c>
      <c r="L136">
        <f t="shared" si="15"/>
        <v>4.2295187007678692</v>
      </c>
      <c r="M136">
        <f t="shared" si="13"/>
        <v>4.0950151319812944</v>
      </c>
      <c r="N136">
        <f t="shared" si="16"/>
        <v>0.13450356878657477</v>
      </c>
    </row>
    <row r="137" spans="2:14" x14ac:dyDescent="0.55000000000000004">
      <c r="B137" t="s">
        <v>8</v>
      </c>
      <c r="C137" t="s">
        <v>7</v>
      </c>
      <c r="D137">
        <v>29</v>
      </c>
      <c r="E137">
        <f t="shared" si="12"/>
        <v>323.08633537015089</v>
      </c>
      <c r="F137">
        <v>10</v>
      </c>
      <c r="G137">
        <v>100</v>
      </c>
      <c r="H137">
        <f t="shared" si="14"/>
        <v>122.5799560546875</v>
      </c>
      <c r="L137">
        <f t="shared" si="15"/>
        <v>5.7779195796741192</v>
      </c>
      <c r="M137">
        <f t="shared" si="13"/>
        <v>4.0950151319812944</v>
      </c>
      <c r="N137">
        <f t="shared" si="16"/>
        <v>1.6829044476928248</v>
      </c>
    </row>
    <row r="138" spans="2:14" x14ac:dyDescent="0.55000000000000004">
      <c r="B138" t="s">
        <v>8</v>
      </c>
      <c r="C138" t="s">
        <v>7</v>
      </c>
      <c r="D138">
        <v>30</v>
      </c>
      <c r="E138">
        <f t="shared" si="12"/>
        <v>700.7281573198843</v>
      </c>
      <c r="F138">
        <v>10</v>
      </c>
      <c r="G138">
        <v>100</v>
      </c>
      <c r="H138">
        <f t="shared" si="14"/>
        <v>161.28997802734375</v>
      </c>
      <c r="L138">
        <f t="shared" si="15"/>
        <v>6.5521200191272442</v>
      </c>
      <c r="M138">
        <f t="shared" si="13"/>
        <v>4.0950151319812944</v>
      </c>
      <c r="N138">
        <f t="shared" si="16"/>
        <v>2.4571048871459498</v>
      </c>
    </row>
    <row r="139" spans="2:14" x14ac:dyDescent="0.55000000000000004">
      <c r="B139" t="s">
        <v>8</v>
      </c>
      <c r="C139" t="s">
        <v>7</v>
      </c>
      <c r="D139">
        <v>31</v>
      </c>
      <c r="E139">
        <f t="shared" si="12"/>
        <v>634.38885927468186</v>
      </c>
      <c r="F139">
        <v>15</v>
      </c>
      <c r="G139">
        <v>100</v>
      </c>
      <c r="H139">
        <f t="shared" si="14"/>
        <v>180.64498901367188</v>
      </c>
      <c r="L139">
        <f t="shared" si="15"/>
        <v>6.4526621091240104</v>
      </c>
      <c r="M139">
        <f t="shared" si="13"/>
        <v>4.0950151319812944</v>
      </c>
      <c r="N139">
        <f t="shared" si="16"/>
        <v>2.357646977142716</v>
      </c>
    </row>
    <row r="140" spans="2:14" x14ac:dyDescent="0.55000000000000004">
      <c r="B140" t="s">
        <v>8</v>
      </c>
      <c r="C140" t="s">
        <v>7</v>
      </c>
      <c r="D140">
        <v>32</v>
      </c>
      <c r="E140">
        <f t="shared" si="12"/>
        <v>104.18958986345697</v>
      </c>
      <c r="F140">
        <v>15</v>
      </c>
      <c r="G140">
        <v>0</v>
      </c>
      <c r="H140">
        <f t="shared" si="14"/>
        <v>90.322494506835938</v>
      </c>
      <c r="L140">
        <f t="shared" si="15"/>
        <v>4.6462122189872916</v>
      </c>
      <c r="M140">
        <f t="shared" si="13"/>
        <v>4.0950151319812944</v>
      </c>
      <c r="N140">
        <f t="shared" si="16"/>
        <v>0.55119708700599723</v>
      </c>
    </row>
    <row r="141" spans="2:14" x14ac:dyDescent="0.55000000000000004">
      <c r="B141" t="s">
        <v>8</v>
      </c>
      <c r="C141" t="s">
        <v>7</v>
      </c>
      <c r="D141">
        <v>33</v>
      </c>
      <c r="E141">
        <f t="shared" ref="E141:E172" si="17">EXP(3-1.2*(LN(F141)-LN(AVERAGE(F:F)))+0.02*H141)</f>
        <v>42.223936417373743</v>
      </c>
      <c r="F141">
        <v>15</v>
      </c>
      <c r="G141">
        <v>0</v>
      </c>
      <c r="H141">
        <f t="shared" si="14"/>
        <v>45.161247253417969</v>
      </c>
      <c r="L141">
        <f t="shared" si="15"/>
        <v>3.7429872739189323</v>
      </c>
      <c r="M141">
        <f t="shared" si="13"/>
        <v>4.0950151319812944</v>
      </c>
      <c r="N141">
        <f t="shared" si="16"/>
        <v>-0.35202785806236214</v>
      </c>
    </row>
    <row r="142" spans="2:14" x14ac:dyDescent="0.55000000000000004">
      <c r="B142" t="s">
        <v>8</v>
      </c>
      <c r="C142" t="s">
        <v>7</v>
      </c>
      <c r="D142">
        <v>34</v>
      </c>
      <c r="E142">
        <f t="shared" si="17"/>
        <v>198.61629575357523</v>
      </c>
      <c r="F142">
        <v>15</v>
      </c>
      <c r="G142">
        <v>100</v>
      </c>
      <c r="H142">
        <f t="shared" si="14"/>
        <v>122.58062362670898</v>
      </c>
      <c r="L142">
        <f t="shared" si="15"/>
        <v>5.2913748013847526</v>
      </c>
      <c r="M142">
        <f t="shared" si="13"/>
        <v>4.0950151319812944</v>
      </c>
      <c r="N142">
        <f t="shared" si="16"/>
        <v>1.1963596694034582</v>
      </c>
    </row>
    <row r="143" spans="2:14" x14ac:dyDescent="0.55000000000000004">
      <c r="B143" t="s">
        <v>8</v>
      </c>
      <c r="C143" t="s">
        <v>7</v>
      </c>
      <c r="D143">
        <v>35</v>
      </c>
      <c r="E143">
        <f t="shared" si="17"/>
        <v>430.76752744901142</v>
      </c>
      <c r="F143">
        <v>15</v>
      </c>
      <c r="G143">
        <v>100</v>
      </c>
      <c r="H143">
        <f t="shared" si="14"/>
        <v>161.29031181335449</v>
      </c>
      <c r="L143">
        <f t="shared" si="15"/>
        <v>6.0655685651176627</v>
      </c>
      <c r="M143">
        <f t="shared" si="13"/>
        <v>4.0950151319812944</v>
      </c>
      <c r="N143">
        <f t="shared" si="16"/>
        <v>1.9705534331363683</v>
      </c>
    </row>
    <row r="144" spans="2:14" x14ac:dyDescent="0.55000000000000004">
      <c r="B144" t="s">
        <v>8</v>
      </c>
      <c r="C144" t="s">
        <v>7</v>
      </c>
      <c r="D144">
        <v>36</v>
      </c>
      <c r="E144">
        <f t="shared" si="17"/>
        <v>634.39097677948178</v>
      </c>
      <c r="F144">
        <v>15</v>
      </c>
      <c r="G144">
        <v>100</v>
      </c>
      <c r="H144">
        <f t="shared" si="14"/>
        <v>180.64515590667725</v>
      </c>
      <c r="L144">
        <f t="shared" si="15"/>
        <v>6.4526654469841178</v>
      </c>
      <c r="M144">
        <f t="shared" si="13"/>
        <v>4.0950151319812944</v>
      </c>
      <c r="N144">
        <f t="shared" si="16"/>
        <v>2.3576503150028234</v>
      </c>
    </row>
    <row r="145" spans="2:14" x14ac:dyDescent="0.55000000000000004">
      <c r="B145" t="s">
        <v>8</v>
      </c>
      <c r="C145" t="s">
        <v>7</v>
      </c>
      <c r="D145">
        <v>37</v>
      </c>
      <c r="E145">
        <f t="shared" si="17"/>
        <v>104.18976374873988</v>
      </c>
      <c r="F145">
        <v>15</v>
      </c>
      <c r="G145">
        <v>0</v>
      </c>
      <c r="H145">
        <f t="shared" si="14"/>
        <v>90.322577953338623</v>
      </c>
      <c r="L145">
        <f t="shared" si="15"/>
        <v>4.6462138879173454</v>
      </c>
      <c r="M145">
        <f t="shared" si="13"/>
        <v>4.0950151319812944</v>
      </c>
      <c r="N145">
        <f t="shared" si="16"/>
        <v>0.55119875593605094</v>
      </c>
    </row>
    <row r="146" spans="2:14" x14ac:dyDescent="0.55000000000000004">
      <c r="B146" t="s">
        <v>8</v>
      </c>
      <c r="C146" t="s">
        <v>7</v>
      </c>
      <c r="D146">
        <v>38</v>
      </c>
      <c r="E146">
        <f t="shared" si="17"/>
        <v>42.223971651786684</v>
      </c>
      <c r="F146">
        <v>15</v>
      </c>
      <c r="G146">
        <v>0</v>
      </c>
      <c r="H146">
        <f t="shared" si="14"/>
        <v>45.161288976669312</v>
      </c>
      <c r="L146">
        <f t="shared" si="15"/>
        <v>3.7429881083839591</v>
      </c>
      <c r="M146">
        <f t="shared" si="13"/>
        <v>4.0950151319812944</v>
      </c>
      <c r="N146">
        <f t="shared" si="16"/>
        <v>-0.35202702359733529</v>
      </c>
    </row>
    <row r="147" spans="2:14" x14ac:dyDescent="0.55000000000000004">
      <c r="B147" t="s">
        <v>8</v>
      </c>
      <c r="C147" t="s">
        <v>7</v>
      </c>
      <c r="D147">
        <v>39</v>
      </c>
      <c r="E147">
        <f t="shared" si="17"/>
        <v>198.61637862276879</v>
      </c>
      <c r="F147">
        <v>15</v>
      </c>
      <c r="G147">
        <v>100</v>
      </c>
      <c r="H147">
        <f t="shared" si="14"/>
        <v>122.58064448833466</v>
      </c>
      <c r="L147">
        <f t="shared" si="15"/>
        <v>5.291375218617266</v>
      </c>
      <c r="M147">
        <f t="shared" si="13"/>
        <v>4.0950151319812944</v>
      </c>
      <c r="N147">
        <f t="shared" si="16"/>
        <v>1.1963600866359716</v>
      </c>
    </row>
    <row r="148" spans="2:14" x14ac:dyDescent="0.55000000000000004">
      <c r="B148" t="s">
        <v>8</v>
      </c>
      <c r="C148" t="s">
        <v>7</v>
      </c>
      <c r="D148">
        <v>40</v>
      </c>
      <c r="E148">
        <f t="shared" si="17"/>
        <v>58.29805749836855</v>
      </c>
      <c r="F148">
        <v>15</v>
      </c>
      <c r="G148">
        <v>0</v>
      </c>
      <c r="H148">
        <f t="shared" si="14"/>
        <v>61.290322244167328</v>
      </c>
      <c r="L148">
        <f t="shared" si="15"/>
        <v>4.0655687737339194</v>
      </c>
      <c r="M148">
        <f t="shared" si="13"/>
        <v>4.0950151319812944</v>
      </c>
      <c r="N148">
        <f t="shared" si="16"/>
        <v>-2.944635824737496E-2</v>
      </c>
    </row>
    <row r="149" spans="2:14" x14ac:dyDescent="0.55000000000000004">
      <c r="B149" t="s">
        <v>8</v>
      </c>
      <c r="C149" t="s">
        <v>7</v>
      </c>
      <c r="D149">
        <v>41</v>
      </c>
      <c r="E149">
        <f t="shared" si="17"/>
        <v>31.584470227392849</v>
      </c>
      <c r="F149">
        <v>15</v>
      </c>
      <c r="G149">
        <v>0</v>
      </c>
      <c r="H149">
        <f t="shared" si="14"/>
        <v>30.645161122083664</v>
      </c>
      <c r="L149">
        <f t="shared" si="15"/>
        <v>3.4526655512922462</v>
      </c>
      <c r="M149">
        <f t="shared" si="13"/>
        <v>4.0950151319812944</v>
      </c>
      <c r="N149">
        <f t="shared" si="16"/>
        <v>-0.64234958068904824</v>
      </c>
    </row>
    <row r="150" spans="2:14" x14ac:dyDescent="0.55000000000000004">
      <c r="B150" t="s">
        <v>8</v>
      </c>
      <c r="C150" t="s">
        <v>7</v>
      </c>
      <c r="D150">
        <v>42</v>
      </c>
      <c r="E150">
        <f t="shared" si="17"/>
        <v>23.247879883554788</v>
      </c>
      <c r="F150">
        <v>15</v>
      </c>
      <c r="G150">
        <v>0</v>
      </c>
      <c r="H150">
        <f t="shared" si="14"/>
        <v>15.322580561041832</v>
      </c>
      <c r="L150">
        <f t="shared" si="15"/>
        <v>3.1462139400714095</v>
      </c>
      <c r="M150">
        <f t="shared" si="13"/>
        <v>4.0950151319812944</v>
      </c>
      <c r="N150">
        <f t="shared" si="16"/>
        <v>-0.94880119190988488</v>
      </c>
    </row>
    <row r="151" spans="2:14" x14ac:dyDescent="0.55000000000000004">
      <c r="B151" t="s">
        <v>8</v>
      </c>
      <c r="C151" t="s">
        <v>7</v>
      </c>
      <c r="D151">
        <v>43</v>
      </c>
      <c r="E151">
        <f t="shared" si="17"/>
        <v>19.945192452300219</v>
      </c>
      <c r="F151">
        <v>15</v>
      </c>
      <c r="G151">
        <v>0</v>
      </c>
      <c r="H151">
        <f t="shared" si="14"/>
        <v>7.661290280520916</v>
      </c>
      <c r="L151">
        <f t="shared" si="15"/>
        <v>2.9929881344609912</v>
      </c>
      <c r="M151">
        <f t="shared" si="13"/>
        <v>4.0950151319812944</v>
      </c>
      <c r="N151">
        <f t="shared" si="16"/>
        <v>-1.1020269975203032</v>
      </c>
    </row>
    <row r="152" spans="2:14" x14ac:dyDescent="0.55000000000000004">
      <c r="B152" t="s">
        <v>8</v>
      </c>
      <c r="C152" t="s">
        <v>7</v>
      </c>
      <c r="D152">
        <v>44</v>
      </c>
      <c r="E152">
        <f t="shared" si="17"/>
        <v>18.474201247344752</v>
      </c>
      <c r="F152">
        <v>15</v>
      </c>
      <c r="G152">
        <v>0</v>
      </c>
      <c r="H152">
        <f t="shared" si="14"/>
        <v>3.830645140260458</v>
      </c>
      <c r="L152">
        <f t="shared" si="15"/>
        <v>2.9163752316557821</v>
      </c>
      <c r="M152">
        <f t="shared" si="13"/>
        <v>4.0950151319812944</v>
      </c>
      <c r="N152">
        <f t="shared" si="16"/>
        <v>-1.1786399003255124</v>
      </c>
    </row>
    <row r="153" spans="2:14" x14ac:dyDescent="0.55000000000000004">
      <c r="B153" t="s">
        <v>8</v>
      </c>
      <c r="C153" t="s">
        <v>7</v>
      </c>
      <c r="D153">
        <v>45</v>
      </c>
      <c r="E153">
        <f t="shared" si="17"/>
        <v>17.779903102240748</v>
      </c>
      <c r="F153">
        <v>15</v>
      </c>
      <c r="G153">
        <v>0</v>
      </c>
      <c r="H153">
        <f t="shared" si="14"/>
        <v>1.915322570130229</v>
      </c>
      <c r="L153">
        <f t="shared" si="15"/>
        <v>2.8780687802531775</v>
      </c>
      <c r="M153">
        <f t="shared" si="13"/>
        <v>4.0950151319812944</v>
      </c>
      <c r="N153">
        <f t="shared" si="16"/>
        <v>-1.2169463517281169</v>
      </c>
    </row>
    <row r="154" spans="2:14" x14ac:dyDescent="0.55000000000000004">
      <c r="B154" t="s">
        <v>8</v>
      </c>
      <c r="C154" t="s">
        <v>7</v>
      </c>
      <c r="D154">
        <v>46</v>
      </c>
      <c r="E154">
        <f t="shared" si="17"/>
        <v>17.11169809685309</v>
      </c>
      <c r="F154">
        <v>15</v>
      </c>
      <c r="G154">
        <v>0</v>
      </c>
      <c r="H154">
        <f t="shared" si="14"/>
        <v>0</v>
      </c>
      <c r="L154">
        <f t="shared" si="15"/>
        <v>2.8397623288505729</v>
      </c>
      <c r="M154">
        <f t="shared" si="13"/>
        <v>4.0950151319812944</v>
      </c>
      <c r="N154">
        <f t="shared" si="16"/>
        <v>-1.2552528031307215</v>
      </c>
    </row>
    <row r="155" spans="2:14" x14ac:dyDescent="0.55000000000000004">
      <c r="B155" t="s">
        <v>8</v>
      </c>
      <c r="C155" t="s">
        <v>7</v>
      </c>
      <c r="D155">
        <v>47</v>
      </c>
      <c r="E155">
        <f t="shared" si="17"/>
        <v>17.11169809685309</v>
      </c>
      <c r="F155">
        <v>15</v>
      </c>
      <c r="G155">
        <v>0</v>
      </c>
      <c r="H155">
        <f t="shared" si="14"/>
        <v>0</v>
      </c>
      <c r="L155">
        <f t="shared" si="15"/>
        <v>2.8397623288505729</v>
      </c>
      <c r="M155">
        <f t="shared" si="13"/>
        <v>4.0950151319812944</v>
      </c>
      <c r="N155">
        <f t="shared" si="16"/>
        <v>-1.2552528031307215</v>
      </c>
    </row>
    <row r="156" spans="2:14" x14ac:dyDescent="0.55000000000000004">
      <c r="B156" t="s">
        <v>8</v>
      </c>
      <c r="C156" t="s">
        <v>7</v>
      </c>
      <c r="D156">
        <v>48</v>
      </c>
      <c r="E156">
        <f t="shared" si="17"/>
        <v>17.11169809685309</v>
      </c>
      <c r="F156">
        <v>15</v>
      </c>
      <c r="G156">
        <v>0</v>
      </c>
      <c r="H156">
        <f t="shared" si="14"/>
        <v>0</v>
      </c>
      <c r="L156">
        <f t="shared" si="15"/>
        <v>2.8397623288505729</v>
      </c>
      <c r="M156">
        <f t="shared" si="13"/>
        <v>4.0950151319812944</v>
      </c>
      <c r="N156">
        <f t="shared" si="16"/>
        <v>-1.2552528031307215</v>
      </c>
    </row>
    <row r="157" spans="2:14" x14ac:dyDescent="0.55000000000000004">
      <c r="B157" t="s">
        <v>8</v>
      </c>
      <c r="C157" t="s">
        <v>7</v>
      </c>
      <c r="D157">
        <v>49</v>
      </c>
      <c r="E157">
        <f t="shared" si="17"/>
        <v>17.11169809685309</v>
      </c>
      <c r="F157">
        <v>15</v>
      </c>
      <c r="G157">
        <v>0</v>
      </c>
      <c r="H157">
        <f t="shared" si="14"/>
        <v>0</v>
      </c>
      <c r="L157">
        <f t="shared" si="15"/>
        <v>2.8397623288505729</v>
      </c>
      <c r="M157">
        <f t="shared" si="13"/>
        <v>4.0950151319812944</v>
      </c>
      <c r="N157">
        <f t="shared" si="16"/>
        <v>-1.2552528031307215</v>
      </c>
    </row>
    <row r="158" spans="2:14" x14ac:dyDescent="0.55000000000000004">
      <c r="B158" t="s">
        <v>8</v>
      </c>
      <c r="C158" t="s">
        <v>7</v>
      </c>
      <c r="D158">
        <v>50</v>
      </c>
      <c r="E158">
        <f t="shared" si="17"/>
        <v>17.11169809685309</v>
      </c>
      <c r="F158">
        <v>15</v>
      </c>
      <c r="G158">
        <v>0</v>
      </c>
      <c r="H158">
        <f t="shared" si="14"/>
        <v>0</v>
      </c>
      <c r="L158">
        <f t="shared" si="15"/>
        <v>2.8397623288505729</v>
      </c>
      <c r="M158">
        <f t="shared" si="13"/>
        <v>4.0950151319812944</v>
      </c>
      <c r="N158">
        <f t="shared" si="16"/>
        <v>-1.2552528031307215</v>
      </c>
    </row>
    <row r="159" spans="2:14" x14ac:dyDescent="0.55000000000000004">
      <c r="B159" t="s">
        <v>8</v>
      </c>
      <c r="C159" t="s">
        <v>7</v>
      </c>
      <c r="D159">
        <v>51</v>
      </c>
      <c r="E159">
        <f t="shared" si="17"/>
        <v>17.11169809685309</v>
      </c>
      <c r="F159">
        <v>15</v>
      </c>
      <c r="G159">
        <v>0</v>
      </c>
      <c r="H159">
        <f t="shared" si="14"/>
        <v>0</v>
      </c>
      <c r="L159">
        <f t="shared" si="15"/>
        <v>2.8397623288505729</v>
      </c>
      <c r="M159">
        <f t="shared" si="13"/>
        <v>4.0950151319812944</v>
      </c>
      <c r="N159">
        <f t="shared" si="16"/>
        <v>-1.2552528031307215</v>
      </c>
    </row>
    <row r="160" spans="2:14" x14ac:dyDescent="0.55000000000000004">
      <c r="B160" t="s">
        <v>8</v>
      </c>
      <c r="C160" t="s">
        <v>7</v>
      </c>
      <c r="D160">
        <v>52</v>
      </c>
      <c r="E160">
        <f t="shared" si="17"/>
        <v>17.11169809685309</v>
      </c>
      <c r="F160">
        <v>15</v>
      </c>
      <c r="G160">
        <v>0</v>
      </c>
      <c r="H160">
        <f t="shared" si="14"/>
        <v>0</v>
      </c>
      <c r="L160">
        <f t="shared" si="15"/>
        <v>2.8397623288505729</v>
      </c>
      <c r="M160">
        <f t="shared" si="13"/>
        <v>4.0950151319812944</v>
      </c>
      <c r="N160">
        <f t="shared" si="16"/>
        <v>-1.2552528031307215</v>
      </c>
    </row>
    <row r="161" spans="2:14" x14ac:dyDescent="0.55000000000000004">
      <c r="B161" t="s">
        <v>8</v>
      </c>
      <c r="C161" t="s">
        <v>7</v>
      </c>
      <c r="D161">
        <v>53</v>
      </c>
      <c r="E161">
        <f t="shared" si="17"/>
        <v>17.11169809685309</v>
      </c>
      <c r="F161">
        <v>15</v>
      </c>
      <c r="G161">
        <v>0</v>
      </c>
      <c r="H161">
        <f t="shared" si="14"/>
        <v>0</v>
      </c>
      <c r="L161">
        <f t="shared" si="15"/>
        <v>2.8397623288505729</v>
      </c>
      <c r="M161">
        <f t="shared" si="13"/>
        <v>4.0950151319812944</v>
      </c>
      <c r="N161">
        <f t="shared" si="16"/>
        <v>-1.2552528031307215</v>
      </c>
    </row>
    <row r="162" spans="2:14" x14ac:dyDescent="0.55000000000000004">
      <c r="B162" t="s">
        <v>8</v>
      </c>
      <c r="C162" t="s">
        <v>7</v>
      </c>
      <c r="D162">
        <v>54</v>
      </c>
      <c r="E162">
        <f t="shared" si="17"/>
        <v>17.11169809685309</v>
      </c>
      <c r="F162">
        <v>15</v>
      </c>
      <c r="G162">
        <v>0</v>
      </c>
      <c r="H162">
        <f t="shared" si="14"/>
        <v>0</v>
      </c>
      <c r="L162">
        <f t="shared" si="15"/>
        <v>2.8397623288505729</v>
      </c>
      <c r="M162">
        <f t="shared" si="13"/>
        <v>4.0950151319812944</v>
      </c>
      <c r="N162">
        <f t="shared" si="16"/>
        <v>-1.2552528031307215</v>
      </c>
    </row>
    <row r="163" spans="2:14" x14ac:dyDescent="0.55000000000000004">
      <c r="B163" t="s">
        <v>8</v>
      </c>
      <c r="C163" t="s">
        <v>7</v>
      </c>
      <c r="D163">
        <v>55</v>
      </c>
      <c r="E163">
        <f t="shared" si="17"/>
        <v>17.11169809685309</v>
      </c>
      <c r="F163">
        <v>15</v>
      </c>
      <c r="G163">
        <v>0</v>
      </c>
      <c r="H163">
        <f t="shared" si="14"/>
        <v>0</v>
      </c>
      <c r="L163">
        <f t="shared" si="15"/>
        <v>2.8397623288505729</v>
      </c>
      <c r="M163">
        <f t="shared" si="13"/>
        <v>4.0950151319812944</v>
      </c>
      <c r="N163">
        <f t="shared" si="16"/>
        <v>-1.2552528031307215</v>
      </c>
    </row>
    <row r="164" spans="2:14" x14ac:dyDescent="0.55000000000000004">
      <c r="B164" t="s">
        <v>8</v>
      </c>
      <c r="C164" t="s">
        <v>7</v>
      </c>
      <c r="D164">
        <v>56</v>
      </c>
      <c r="E164">
        <f t="shared" si="17"/>
        <v>17.11169809685309</v>
      </c>
      <c r="F164">
        <v>15</v>
      </c>
      <c r="G164">
        <v>0</v>
      </c>
      <c r="H164">
        <f t="shared" si="14"/>
        <v>0</v>
      </c>
      <c r="L164">
        <f t="shared" si="15"/>
        <v>2.8397623288505729</v>
      </c>
      <c r="M164">
        <f t="shared" si="13"/>
        <v>4.0950151319812944</v>
      </c>
      <c r="N164">
        <f t="shared" si="16"/>
        <v>-1.2552528031307215</v>
      </c>
    </row>
    <row r="165" spans="2:14" x14ac:dyDescent="0.55000000000000004">
      <c r="B165" t="s">
        <v>8</v>
      </c>
      <c r="C165" t="s">
        <v>7</v>
      </c>
      <c r="D165">
        <v>57</v>
      </c>
      <c r="E165">
        <f t="shared" si="17"/>
        <v>17.11169809685309</v>
      </c>
      <c r="F165">
        <v>15</v>
      </c>
      <c r="G165">
        <v>0</v>
      </c>
      <c r="H165">
        <f t="shared" si="14"/>
        <v>0</v>
      </c>
      <c r="L165">
        <f t="shared" si="15"/>
        <v>2.8397623288505729</v>
      </c>
      <c r="M165">
        <f t="shared" si="13"/>
        <v>4.0950151319812944</v>
      </c>
      <c r="N165">
        <f t="shared" si="16"/>
        <v>-1.2552528031307215</v>
      </c>
    </row>
    <row r="166" spans="2:14" x14ac:dyDescent="0.55000000000000004">
      <c r="B166" t="s">
        <v>8</v>
      </c>
      <c r="C166" t="s">
        <v>7</v>
      </c>
      <c r="D166">
        <v>58</v>
      </c>
      <c r="E166">
        <f t="shared" si="17"/>
        <v>17.11169809685309</v>
      </c>
      <c r="F166">
        <v>15</v>
      </c>
      <c r="G166">
        <v>0</v>
      </c>
      <c r="H166">
        <f t="shared" si="14"/>
        <v>0</v>
      </c>
      <c r="L166">
        <f t="shared" si="15"/>
        <v>2.8397623288505729</v>
      </c>
      <c r="M166">
        <f t="shared" si="13"/>
        <v>4.0950151319812944</v>
      </c>
      <c r="N166">
        <f t="shared" si="16"/>
        <v>-1.2552528031307215</v>
      </c>
    </row>
    <row r="167" spans="2:14" x14ac:dyDescent="0.55000000000000004">
      <c r="B167" t="s">
        <v>8</v>
      </c>
      <c r="C167" t="s">
        <v>7</v>
      </c>
      <c r="D167">
        <v>59</v>
      </c>
      <c r="E167">
        <f t="shared" si="17"/>
        <v>17.11169809685309</v>
      </c>
      <c r="F167">
        <v>15</v>
      </c>
      <c r="G167">
        <v>0</v>
      </c>
      <c r="H167">
        <f t="shared" si="14"/>
        <v>0</v>
      </c>
      <c r="L167">
        <f t="shared" si="15"/>
        <v>2.8397623288505729</v>
      </c>
      <c r="M167">
        <f t="shared" si="13"/>
        <v>4.0950151319812944</v>
      </c>
      <c r="N167">
        <f t="shared" si="16"/>
        <v>-1.2552528031307215</v>
      </c>
    </row>
    <row r="168" spans="2:14" x14ac:dyDescent="0.55000000000000004">
      <c r="B168" t="s">
        <v>8</v>
      </c>
      <c r="C168" t="s">
        <v>7</v>
      </c>
      <c r="D168">
        <v>60</v>
      </c>
      <c r="E168">
        <f t="shared" si="17"/>
        <v>17.11169809685309</v>
      </c>
      <c r="F168">
        <v>15</v>
      </c>
      <c r="G168">
        <v>0</v>
      </c>
      <c r="H168">
        <f t="shared" si="14"/>
        <v>0</v>
      </c>
      <c r="L168">
        <f t="shared" si="15"/>
        <v>2.8397623288505729</v>
      </c>
      <c r="M168">
        <f t="shared" si="13"/>
        <v>4.0950151319812944</v>
      </c>
      <c r="N168">
        <f t="shared" si="16"/>
        <v>-1.2552528031307215</v>
      </c>
    </row>
    <row r="169" spans="2:14" x14ac:dyDescent="0.55000000000000004">
      <c r="B169" t="s">
        <v>8</v>
      </c>
      <c r="C169" t="s">
        <v>7</v>
      </c>
      <c r="D169">
        <v>61</v>
      </c>
      <c r="E169">
        <f t="shared" si="17"/>
        <v>17.11169809685309</v>
      </c>
      <c r="F169">
        <v>15</v>
      </c>
      <c r="G169">
        <v>0</v>
      </c>
      <c r="H169">
        <f t="shared" si="14"/>
        <v>0</v>
      </c>
      <c r="L169">
        <f t="shared" si="15"/>
        <v>2.8397623288505729</v>
      </c>
      <c r="M169">
        <f t="shared" si="13"/>
        <v>4.0950151319812944</v>
      </c>
      <c r="N169">
        <f t="shared" si="16"/>
        <v>-1.2552528031307215</v>
      </c>
    </row>
    <row r="170" spans="2:14" x14ac:dyDescent="0.55000000000000004">
      <c r="B170" t="s">
        <v>8</v>
      </c>
      <c r="C170" t="s">
        <v>7</v>
      </c>
      <c r="D170">
        <v>62</v>
      </c>
      <c r="E170">
        <f t="shared" si="17"/>
        <v>17.11169809685309</v>
      </c>
      <c r="F170">
        <v>15</v>
      </c>
      <c r="G170">
        <v>0</v>
      </c>
      <c r="H170">
        <f t="shared" si="14"/>
        <v>0</v>
      </c>
      <c r="L170">
        <f t="shared" si="15"/>
        <v>2.8397623288505729</v>
      </c>
      <c r="M170">
        <f t="shared" si="13"/>
        <v>4.0950151319812944</v>
      </c>
      <c r="N170">
        <f t="shared" si="16"/>
        <v>-1.2552528031307215</v>
      </c>
    </row>
    <row r="171" spans="2:14" x14ac:dyDescent="0.55000000000000004">
      <c r="B171" t="s">
        <v>8</v>
      </c>
      <c r="C171" t="s">
        <v>7</v>
      </c>
      <c r="D171">
        <v>63</v>
      </c>
      <c r="E171">
        <f t="shared" si="17"/>
        <v>17.11169809685309</v>
      </c>
      <c r="F171">
        <v>15</v>
      </c>
      <c r="G171">
        <v>0</v>
      </c>
      <c r="H171">
        <f t="shared" si="14"/>
        <v>0</v>
      </c>
      <c r="L171">
        <f t="shared" si="15"/>
        <v>2.8397623288505729</v>
      </c>
      <c r="M171">
        <f t="shared" si="13"/>
        <v>4.0950151319812944</v>
      </c>
      <c r="N171">
        <f t="shared" si="16"/>
        <v>-1.2552528031307215</v>
      </c>
    </row>
    <row r="172" spans="2:14" x14ac:dyDescent="0.55000000000000004">
      <c r="B172" t="s">
        <v>8</v>
      </c>
      <c r="C172" t="s">
        <v>7</v>
      </c>
      <c r="D172">
        <v>64</v>
      </c>
      <c r="E172">
        <f t="shared" si="17"/>
        <v>17.11169809685309</v>
      </c>
      <c r="F172">
        <v>15</v>
      </c>
      <c r="G172">
        <v>0</v>
      </c>
      <c r="H172">
        <f t="shared" si="14"/>
        <v>0</v>
      </c>
      <c r="L172">
        <f t="shared" si="15"/>
        <v>2.8397623288505729</v>
      </c>
      <c r="M172">
        <f t="shared" si="13"/>
        <v>4.0950151319812944</v>
      </c>
      <c r="N172">
        <f t="shared" si="16"/>
        <v>-1.2552528031307215</v>
      </c>
    </row>
    <row r="173" spans="2:14" x14ac:dyDescent="0.55000000000000004">
      <c r="B173" t="s">
        <v>8</v>
      </c>
      <c r="C173" t="s">
        <v>7</v>
      </c>
      <c r="D173">
        <v>65</v>
      </c>
      <c r="E173">
        <f t="shared" ref="E173:E204" si="18">EXP(3-1.2*(LN(F173)-LN(AVERAGE(F:F)))+0.02*H173)</f>
        <v>17.11169809685309</v>
      </c>
      <c r="F173">
        <v>15</v>
      </c>
      <c r="G173">
        <v>0</v>
      </c>
      <c r="H173">
        <f t="shared" si="14"/>
        <v>0</v>
      </c>
      <c r="L173">
        <f t="shared" si="15"/>
        <v>2.8397623288505729</v>
      </c>
      <c r="M173">
        <f t="shared" si="13"/>
        <v>4.0950151319812944</v>
      </c>
      <c r="N173">
        <f t="shared" si="16"/>
        <v>-1.2552528031307215</v>
      </c>
    </row>
    <row r="174" spans="2:14" x14ac:dyDescent="0.55000000000000004">
      <c r="B174" t="s">
        <v>8</v>
      </c>
      <c r="C174" t="s">
        <v>7</v>
      </c>
      <c r="D174">
        <v>66</v>
      </c>
      <c r="E174">
        <f t="shared" si="18"/>
        <v>76.689310335591159</v>
      </c>
      <c r="F174">
        <v>15</v>
      </c>
      <c r="G174">
        <v>75</v>
      </c>
      <c r="H174">
        <f t="shared" si="14"/>
        <v>75</v>
      </c>
      <c r="L174">
        <f t="shared" si="15"/>
        <v>4.3397623288505729</v>
      </c>
      <c r="M174">
        <f t="shared" ref="M174:M212" si="19">AVERAGE($L$109:$L$212)</f>
        <v>4.0950151319812944</v>
      </c>
      <c r="N174">
        <f t="shared" si="16"/>
        <v>0.24474719686927848</v>
      </c>
    </row>
    <row r="175" spans="2:14" x14ac:dyDescent="0.55000000000000004">
      <c r="B175" t="s">
        <v>8</v>
      </c>
      <c r="C175" t="s">
        <v>7</v>
      </c>
      <c r="D175">
        <v>67</v>
      </c>
      <c r="E175">
        <f t="shared" si="18"/>
        <v>162.35127125446104</v>
      </c>
      <c r="F175">
        <v>15</v>
      </c>
      <c r="G175">
        <v>75</v>
      </c>
      <c r="H175">
        <f t="shared" ref="H175:H212" si="20">IF(H174*0.5&gt;1,G175+H174*0.5,G175)</f>
        <v>112.5</v>
      </c>
      <c r="L175">
        <f t="shared" si="15"/>
        <v>5.0897623288505729</v>
      </c>
      <c r="M175">
        <f t="shared" si="19"/>
        <v>4.0950151319812944</v>
      </c>
      <c r="N175">
        <f t="shared" si="16"/>
        <v>0.99474719686927848</v>
      </c>
    </row>
    <row r="176" spans="2:14" x14ac:dyDescent="0.55000000000000004">
      <c r="B176" t="s">
        <v>8</v>
      </c>
      <c r="C176" t="s">
        <v>7</v>
      </c>
      <c r="D176">
        <v>68</v>
      </c>
      <c r="E176">
        <f t="shared" si="18"/>
        <v>236.21970582759161</v>
      </c>
      <c r="F176">
        <v>15</v>
      </c>
      <c r="G176">
        <v>75</v>
      </c>
      <c r="H176">
        <f t="shared" si="20"/>
        <v>131.25</v>
      </c>
      <c r="L176">
        <f t="shared" si="15"/>
        <v>5.4647623288505729</v>
      </c>
      <c r="M176">
        <f t="shared" si="19"/>
        <v>4.0950151319812944</v>
      </c>
      <c r="N176">
        <f t="shared" si="16"/>
        <v>1.3697471968692785</v>
      </c>
    </row>
    <row r="177" spans="2:14" x14ac:dyDescent="0.55000000000000004">
      <c r="B177" t="s">
        <v>8</v>
      </c>
      <c r="C177" t="s">
        <v>7</v>
      </c>
      <c r="D177">
        <v>69</v>
      </c>
      <c r="E177">
        <f t="shared" si="18"/>
        <v>63.577671321378205</v>
      </c>
      <c r="F177">
        <v>15</v>
      </c>
      <c r="G177">
        <v>0</v>
      </c>
      <c r="H177">
        <f t="shared" si="20"/>
        <v>65.625</v>
      </c>
      <c r="L177">
        <f t="shared" si="15"/>
        <v>4.1522623288505729</v>
      </c>
      <c r="M177">
        <f t="shared" si="19"/>
        <v>4.0950151319812944</v>
      </c>
      <c r="N177">
        <f t="shared" si="16"/>
        <v>5.7247196869278483E-2</v>
      </c>
    </row>
    <row r="178" spans="2:14" x14ac:dyDescent="0.55000000000000004">
      <c r="B178" t="s">
        <v>8</v>
      </c>
      <c r="C178" t="s">
        <v>7</v>
      </c>
      <c r="D178">
        <v>70</v>
      </c>
      <c r="E178">
        <f t="shared" si="18"/>
        <v>32.983661369720295</v>
      </c>
      <c r="F178">
        <v>15</v>
      </c>
      <c r="G178">
        <v>0</v>
      </c>
      <c r="H178">
        <f t="shared" si="20"/>
        <v>32.8125</v>
      </c>
      <c r="L178">
        <f t="shared" si="15"/>
        <v>3.4960123288505729</v>
      </c>
      <c r="M178">
        <f t="shared" si="19"/>
        <v>4.0950151319812944</v>
      </c>
      <c r="N178">
        <f t="shared" si="16"/>
        <v>-0.59900280313072152</v>
      </c>
    </row>
    <row r="179" spans="2:14" x14ac:dyDescent="0.55000000000000004">
      <c r="B179" t="s">
        <v>8</v>
      </c>
      <c r="C179" t="s">
        <v>7</v>
      </c>
      <c r="D179">
        <v>71</v>
      </c>
      <c r="E179">
        <f t="shared" si="18"/>
        <v>106.47256313895824</v>
      </c>
      <c r="F179">
        <v>15</v>
      </c>
      <c r="G179">
        <v>75</v>
      </c>
      <c r="H179">
        <f t="shared" si="20"/>
        <v>91.40625</v>
      </c>
      <c r="L179">
        <f t="shared" si="15"/>
        <v>4.6678873288505729</v>
      </c>
      <c r="M179">
        <f t="shared" si="19"/>
        <v>4.0950151319812944</v>
      </c>
      <c r="N179">
        <f t="shared" si="16"/>
        <v>0.57287219686927848</v>
      </c>
    </row>
    <row r="180" spans="2:14" x14ac:dyDescent="0.55000000000000004">
      <c r="B180" t="s">
        <v>8</v>
      </c>
      <c r="C180" t="s">
        <v>7</v>
      </c>
      <c r="D180">
        <v>72</v>
      </c>
      <c r="E180">
        <f t="shared" si="18"/>
        <v>191.29654752610969</v>
      </c>
      <c r="F180">
        <v>15</v>
      </c>
      <c r="G180">
        <v>75</v>
      </c>
      <c r="H180">
        <f t="shared" si="20"/>
        <v>120.703125</v>
      </c>
      <c r="L180">
        <f t="shared" si="15"/>
        <v>5.2538248288505729</v>
      </c>
      <c r="M180">
        <f t="shared" si="19"/>
        <v>4.0950151319812944</v>
      </c>
      <c r="N180">
        <f t="shared" si="16"/>
        <v>1.1588096968692785</v>
      </c>
    </row>
    <row r="181" spans="2:14" x14ac:dyDescent="0.55000000000000004">
      <c r="B181" t="s">
        <v>8</v>
      </c>
      <c r="C181" t="s">
        <v>7</v>
      </c>
      <c r="D181">
        <v>73</v>
      </c>
      <c r="E181">
        <f t="shared" si="18"/>
        <v>256.41406490111359</v>
      </c>
      <c r="F181">
        <v>15</v>
      </c>
      <c r="G181">
        <v>75</v>
      </c>
      <c r="H181">
        <f t="shared" si="20"/>
        <v>135.3515625</v>
      </c>
      <c r="L181">
        <f t="shared" si="15"/>
        <v>5.5467935788505729</v>
      </c>
      <c r="M181">
        <f t="shared" si="19"/>
        <v>4.0950151319812944</v>
      </c>
      <c r="N181">
        <f t="shared" si="16"/>
        <v>1.4517784468692785</v>
      </c>
    </row>
    <row r="182" spans="2:14" x14ac:dyDescent="0.55000000000000004">
      <c r="B182" t="s">
        <v>8</v>
      </c>
      <c r="C182" t="s">
        <v>7</v>
      </c>
      <c r="D182">
        <v>74</v>
      </c>
      <c r="E182">
        <f t="shared" si="18"/>
        <v>66.239565716984814</v>
      </c>
      <c r="F182">
        <v>15</v>
      </c>
      <c r="G182">
        <v>0</v>
      </c>
      <c r="H182">
        <f t="shared" si="20"/>
        <v>67.67578125</v>
      </c>
      <c r="L182">
        <f t="shared" si="15"/>
        <v>4.1932779538505729</v>
      </c>
      <c r="M182">
        <f t="shared" si="19"/>
        <v>4.0950151319812944</v>
      </c>
      <c r="N182">
        <f t="shared" si="16"/>
        <v>9.8262821869278483E-2</v>
      </c>
    </row>
    <row r="183" spans="2:14" x14ac:dyDescent="0.55000000000000004">
      <c r="B183" t="s">
        <v>8</v>
      </c>
      <c r="C183" t="s">
        <v>7</v>
      </c>
      <c r="D183">
        <v>75</v>
      </c>
      <c r="E183">
        <f t="shared" si="18"/>
        <v>33.66706774602897</v>
      </c>
      <c r="F183">
        <v>15</v>
      </c>
      <c r="G183">
        <v>0</v>
      </c>
      <c r="H183">
        <f t="shared" si="20"/>
        <v>33.837890625</v>
      </c>
      <c r="L183">
        <f t="shared" si="15"/>
        <v>3.5165201413505729</v>
      </c>
      <c r="M183">
        <f t="shared" si="19"/>
        <v>4.0950151319812944</v>
      </c>
      <c r="N183">
        <f t="shared" si="16"/>
        <v>-0.57849499063072152</v>
      </c>
    </row>
    <row r="184" spans="2:14" x14ac:dyDescent="0.55000000000000004">
      <c r="B184" t="s">
        <v>8</v>
      </c>
      <c r="C184" t="s">
        <v>7</v>
      </c>
      <c r="D184">
        <v>76</v>
      </c>
      <c r="E184">
        <f t="shared" si="18"/>
        <v>107.56993940117385</v>
      </c>
      <c r="F184">
        <v>15</v>
      </c>
      <c r="G184">
        <v>75</v>
      </c>
      <c r="H184">
        <f t="shared" si="20"/>
        <v>91.9189453125</v>
      </c>
      <c r="L184">
        <f t="shared" si="15"/>
        <v>4.6781412351005729</v>
      </c>
      <c r="M184">
        <f t="shared" si="19"/>
        <v>4.0950151319812944</v>
      </c>
      <c r="N184">
        <f t="shared" si="16"/>
        <v>0.58312610311927848</v>
      </c>
    </row>
    <row r="185" spans="2:14" x14ac:dyDescent="0.55000000000000004">
      <c r="B185" t="s">
        <v>8</v>
      </c>
      <c r="C185" t="s">
        <v>7</v>
      </c>
      <c r="D185">
        <v>77</v>
      </c>
      <c r="E185">
        <f t="shared" si="18"/>
        <v>192.27983443734132</v>
      </c>
      <c r="F185">
        <v>15</v>
      </c>
      <c r="G185">
        <v>75</v>
      </c>
      <c r="H185">
        <f t="shared" si="20"/>
        <v>120.95947265625</v>
      </c>
      <c r="L185">
        <f t="shared" si="15"/>
        <v>5.2589517819755729</v>
      </c>
      <c r="M185">
        <f t="shared" si="19"/>
        <v>4.0950151319812944</v>
      </c>
      <c r="N185">
        <f t="shared" si="16"/>
        <v>1.1639366499942785</v>
      </c>
    </row>
    <row r="186" spans="2:14" x14ac:dyDescent="0.55000000000000004">
      <c r="B186" t="s">
        <v>8</v>
      </c>
      <c r="C186" t="s">
        <v>7</v>
      </c>
      <c r="D186">
        <v>78</v>
      </c>
      <c r="E186">
        <f t="shared" si="18"/>
        <v>257.07221956839788</v>
      </c>
      <c r="F186">
        <v>15</v>
      </c>
      <c r="G186">
        <v>75</v>
      </c>
      <c r="H186">
        <f t="shared" si="20"/>
        <v>135.479736328125</v>
      </c>
      <c r="L186">
        <f t="shared" si="15"/>
        <v>5.5493570554130729</v>
      </c>
      <c r="M186">
        <f t="shared" si="19"/>
        <v>4.0950151319812944</v>
      </c>
      <c r="N186">
        <f t="shared" si="16"/>
        <v>1.4543419234317785</v>
      </c>
    </row>
    <row r="187" spans="2:14" x14ac:dyDescent="0.55000000000000004">
      <c r="B187" t="s">
        <v>8</v>
      </c>
      <c r="C187" t="s">
        <v>7</v>
      </c>
      <c r="D187">
        <v>79</v>
      </c>
      <c r="E187">
        <f t="shared" si="18"/>
        <v>66.324521938287305</v>
      </c>
      <c r="F187">
        <v>15</v>
      </c>
      <c r="G187">
        <v>0</v>
      </c>
      <c r="H187">
        <f t="shared" si="20"/>
        <v>67.7398681640625</v>
      </c>
      <c r="L187">
        <f t="shared" si="15"/>
        <v>4.1945596921318229</v>
      </c>
      <c r="M187">
        <f t="shared" si="19"/>
        <v>4.0950151319812944</v>
      </c>
      <c r="N187">
        <f t="shared" si="16"/>
        <v>9.9544560150528483E-2</v>
      </c>
    </row>
    <row r="188" spans="2:14" x14ac:dyDescent="0.55000000000000004">
      <c r="B188" t="s">
        <v>8</v>
      </c>
      <c r="C188" t="s">
        <v>7</v>
      </c>
      <c r="D188">
        <v>80</v>
      </c>
      <c r="E188">
        <f t="shared" si="18"/>
        <v>33.688650846035408</v>
      </c>
      <c r="F188">
        <v>15</v>
      </c>
      <c r="G188">
        <v>0</v>
      </c>
      <c r="H188">
        <f t="shared" si="20"/>
        <v>33.86993408203125</v>
      </c>
      <c r="L188">
        <f t="shared" si="15"/>
        <v>3.5171610104911979</v>
      </c>
      <c r="M188">
        <f t="shared" si="19"/>
        <v>4.0950151319812944</v>
      </c>
      <c r="N188">
        <f t="shared" si="16"/>
        <v>-0.57785412149009652</v>
      </c>
    </row>
    <row r="189" spans="2:14" x14ac:dyDescent="0.55000000000000004">
      <c r="B189" t="s">
        <v>8</v>
      </c>
      <c r="C189" t="s">
        <v>7</v>
      </c>
      <c r="D189">
        <v>81</v>
      </c>
      <c r="E189">
        <f t="shared" si="18"/>
        <v>107.60441405162433</v>
      </c>
      <c r="F189">
        <v>15</v>
      </c>
      <c r="G189">
        <v>75</v>
      </c>
      <c r="H189">
        <f t="shared" si="20"/>
        <v>91.934967041015625</v>
      </c>
      <c r="L189">
        <f t="shared" si="15"/>
        <v>4.6784616696708854</v>
      </c>
      <c r="M189">
        <f t="shared" si="19"/>
        <v>4.0950151319812944</v>
      </c>
      <c r="N189">
        <f t="shared" si="16"/>
        <v>0.58344653768959098</v>
      </c>
    </row>
    <row r="190" spans="2:14" x14ac:dyDescent="0.55000000000000004">
      <c r="B190" t="s">
        <v>8</v>
      </c>
      <c r="C190" t="s">
        <v>7</v>
      </c>
      <c r="D190">
        <v>82</v>
      </c>
      <c r="E190">
        <f t="shared" si="18"/>
        <v>192.31064345840809</v>
      </c>
      <c r="F190">
        <v>15</v>
      </c>
      <c r="G190">
        <v>75</v>
      </c>
      <c r="H190">
        <f t="shared" si="20"/>
        <v>120.96748352050781</v>
      </c>
      <c r="L190">
        <f t="shared" si="15"/>
        <v>5.2591119992607291</v>
      </c>
      <c r="M190">
        <f t="shared" si="19"/>
        <v>4.0950151319812944</v>
      </c>
      <c r="N190">
        <f t="shared" si="16"/>
        <v>1.1640968672794347</v>
      </c>
    </row>
    <row r="191" spans="2:14" x14ac:dyDescent="0.55000000000000004">
      <c r="B191" t="s">
        <v>8</v>
      </c>
      <c r="C191" t="s">
        <v>7</v>
      </c>
      <c r="D191">
        <v>83</v>
      </c>
      <c r="E191">
        <f t="shared" si="18"/>
        <v>257.09281409984106</v>
      </c>
      <c r="F191">
        <v>15</v>
      </c>
      <c r="G191">
        <v>75</v>
      </c>
      <c r="H191">
        <f t="shared" si="20"/>
        <v>135.48374176025391</v>
      </c>
      <c r="L191">
        <f t="shared" si="15"/>
        <v>5.549437164055651</v>
      </c>
      <c r="M191">
        <f t="shared" si="19"/>
        <v>4.0950151319812944</v>
      </c>
      <c r="N191">
        <f t="shared" si="16"/>
        <v>1.4544220320743566</v>
      </c>
    </row>
    <row r="192" spans="2:14" x14ac:dyDescent="0.55000000000000004">
      <c r="B192" t="s">
        <v>8</v>
      </c>
      <c r="C192" t="s">
        <v>7</v>
      </c>
      <c r="D192">
        <v>84</v>
      </c>
      <c r="E192">
        <f t="shared" si="18"/>
        <v>66.327178575202907</v>
      </c>
      <c r="F192">
        <v>15</v>
      </c>
      <c r="G192">
        <v>0</v>
      </c>
      <c r="H192">
        <f t="shared" si="20"/>
        <v>67.741870880126953</v>
      </c>
      <c r="L192">
        <f t="shared" si="15"/>
        <v>4.194599746453112</v>
      </c>
      <c r="M192">
        <f t="shared" si="19"/>
        <v>4.0950151319812944</v>
      </c>
      <c r="N192">
        <f t="shared" si="16"/>
        <v>9.9584614471817545E-2</v>
      </c>
    </row>
    <row r="193" spans="2:14" x14ac:dyDescent="0.55000000000000004">
      <c r="B193" t="s">
        <v>8</v>
      </c>
      <c r="C193" t="s">
        <v>7</v>
      </c>
      <c r="D193">
        <v>85</v>
      </c>
      <c r="E193">
        <f t="shared" si="18"/>
        <v>33.689325540813883</v>
      </c>
      <c r="F193">
        <v>15</v>
      </c>
      <c r="G193">
        <v>0</v>
      </c>
      <c r="H193">
        <f t="shared" si="20"/>
        <v>33.870935440063477</v>
      </c>
      <c r="L193">
        <f t="shared" si="15"/>
        <v>3.5171810376518424</v>
      </c>
      <c r="M193">
        <f t="shared" si="19"/>
        <v>4.0950151319812944</v>
      </c>
      <c r="N193">
        <f t="shared" si="16"/>
        <v>-0.57783409432945199</v>
      </c>
    </row>
    <row r="194" spans="2:14" x14ac:dyDescent="0.55000000000000004">
      <c r="B194" t="s">
        <v>8</v>
      </c>
      <c r="C194" t="s">
        <v>7</v>
      </c>
      <c r="D194">
        <v>86</v>
      </c>
      <c r="E194">
        <f t="shared" si="18"/>
        <v>107.60549156246233</v>
      </c>
      <c r="F194">
        <v>15</v>
      </c>
      <c r="G194">
        <v>75</v>
      </c>
      <c r="H194">
        <f t="shared" si="20"/>
        <v>91.935467720031738</v>
      </c>
      <c r="L194">
        <f t="shared" si="15"/>
        <v>4.6784716832512077</v>
      </c>
      <c r="M194">
        <f t="shared" si="19"/>
        <v>4.0950151319812944</v>
      </c>
      <c r="N194">
        <f t="shared" si="16"/>
        <v>0.58345655126991325</v>
      </c>
    </row>
    <row r="195" spans="2:14" x14ac:dyDescent="0.55000000000000004">
      <c r="B195" t="s">
        <v>8</v>
      </c>
      <c r="C195" t="s">
        <v>7</v>
      </c>
      <c r="D195">
        <v>87</v>
      </c>
      <c r="E195">
        <f t="shared" si="18"/>
        <v>192.31160631985608</v>
      </c>
      <c r="F195">
        <v>15</v>
      </c>
      <c r="G195">
        <v>75</v>
      </c>
      <c r="H195">
        <f t="shared" si="20"/>
        <v>120.96773386001587</v>
      </c>
      <c r="L195">
        <f t="shared" si="15"/>
        <v>5.2591170060508903</v>
      </c>
      <c r="M195">
        <f t="shared" si="19"/>
        <v>4.0950151319812944</v>
      </c>
      <c r="N195">
        <f t="shared" si="16"/>
        <v>1.1641018740695959</v>
      </c>
    </row>
    <row r="196" spans="2:14" x14ac:dyDescent="0.55000000000000004">
      <c r="B196" t="s">
        <v>8</v>
      </c>
      <c r="C196" t="s">
        <v>7</v>
      </c>
      <c r="D196">
        <v>88</v>
      </c>
      <c r="E196">
        <f t="shared" si="18"/>
        <v>257.09345770553273</v>
      </c>
      <c r="F196">
        <v>15</v>
      </c>
      <c r="G196">
        <v>75</v>
      </c>
      <c r="H196">
        <f t="shared" si="20"/>
        <v>135.48386693000793</v>
      </c>
      <c r="L196">
        <f t="shared" si="15"/>
        <v>5.5494396674507316</v>
      </c>
      <c r="M196">
        <f t="shared" si="19"/>
        <v>4.0950151319812944</v>
      </c>
      <c r="N196">
        <f t="shared" si="16"/>
        <v>1.4544245354694372</v>
      </c>
    </row>
    <row r="197" spans="2:14" x14ac:dyDescent="0.55000000000000004">
      <c r="B197" t="s">
        <v>8</v>
      </c>
      <c r="C197" t="s">
        <v>7</v>
      </c>
      <c r="D197">
        <v>89</v>
      </c>
      <c r="E197">
        <f t="shared" si="18"/>
        <v>66.327261596821145</v>
      </c>
      <c r="F197">
        <v>15</v>
      </c>
      <c r="G197">
        <v>0</v>
      </c>
      <c r="H197">
        <f t="shared" si="20"/>
        <v>67.741933465003967</v>
      </c>
      <c r="L197">
        <f t="shared" si="15"/>
        <v>4.1946009981506522</v>
      </c>
      <c r="M197">
        <f t="shared" si="19"/>
        <v>4.0950151319812944</v>
      </c>
      <c r="N197">
        <f t="shared" si="16"/>
        <v>9.9585866169357828E-2</v>
      </c>
    </row>
    <row r="198" spans="2:14" x14ac:dyDescent="0.55000000000000004">
      <c r="B198" t="s">
        <v>8</v>
      </c>
      <c r="C198" t="s">
        <v>7</v>
      </c>
      <c r="D198">
        <v>90</v>
      </c>
      <c r="E198">
        <f t="shared" si="18"/>
        <v>44.033641665389823</v>
      </c>
      <c r="F198">
        <v>12</v>
      </c>
      <c r="G198">
        <v>0</v>
      </c>
      <c r="H198">
        <f t="shared" si="20"/>
        <v>33.870966732501984</v>
      </c>
      <c r="L198">
        <f t="shared" ref="L198:L212" si="21">LN(E198)</f>
        <v>3.784953925077664</v>
      </c>
      <c r="M198">
        <f t="shared" si="19"/>
        <v>4.0950151319812944</v>
      </c>
      <c r="N198">
        <f t="shared" ref="N198:N212" si="22">L198-M198</f>
        <v>-0.31006120690363037</v>
      </c>
    </row>
    <row r="199" spans="2:14" x14ac:dyDescent="0.55000000000000004">
      <c r="B199" t="s">
        <v>8</v>
      </c>
      <c r="C199" t="s">
        <v>7</v>
      </c>
      <c r="D199">
        <v>91</v>
      </c>
      <c r="E199">
        <f t="shared" si="18"/>
        <v>140.64574157864669</v>
      </c>
      <c r="F199">
        <v>12</v>
      </c>
      <c r="G199">
        <v>75</v>
      </c>
      <c r="H199">
        <f t="shared" si="20"/>
        <v>91.935483366250992</v>
      </c>
      <c r="L199">
        <f t="shared" si="21"/>
        <v>4.9462442577526442</v>
      </c>
      <c r="M199">
        <f t="shared" si="19"/>
        <v>4.0950151319812944</v>
      </c>
      <c r="N199">
        <f t="shared" si="22"/>
        <v>0.85122912577134979</v>
      </c>
    </row>
    <row r="200" spans="2:14" x14ac:dyDescent="0.55000000000000004">
      <c r="B200" t="s">
        <v>8</v>
      </c>
      <c r="C200" t="s">
        <v>7</v>
      </c>
      <c r="D200">
        <v>92</v>
      </c>
      <c r="E200">
        <f t="shared" si="18"/>
        <v>56.086179311298103</v>
      </c>
      <c r="F200">
        <v>12</v>
      </c>
      <c r="G200">
        <v>0</v>
      </c>
      <c r="H200">
        <f t="shared" si="20"/>
        <v>45.967741683125496</v>
      </c>
      <c r="L200">
        <f t="shared" si="21"/>
        <v>4.0268894240901343</v>
      </c>
      <c r="M200">
        <f t="shared" si="19"/>
        <v>4.0950151319812944</v>
      </c>
      <c r="N200">
        <f t="shared" si="22"/>
        <v>-6.8125707891160125E-2</v>
      </c>
    </row>
    <row r="201" spans="2:14" x14ac:dyDescent="0.55000000000000004">
      <c r="B201" t="s">
        <v>8</v>
      </c>
      <c r="C201" t="s">
        <v>7</v>
      </c>
      <c r="D201">
        <v>93</v>
      </c>
      <c r="E201">
        <f t="shared" si="18"/>
        <v>35.417711053068977</v>
      </c>
      <c r="F201">
        <v>12</v>
      </c>
      <c r="G201">
        <v>0</v>
      </c>
      <c r="H201">
        <f t="shared" si="20"/>
        <v>22.983870841562748</v>
      </c>
      <c r="L201">
        <f t="shared" si="21"/>
        <v>3.5672120072588793</v>
      </c>
      <c r="M201">
        <f t="shared" si="19"/>
        <v>4.0950151319812944</v>
      </c>
      <c r="N201">
        <f t="shared" si="22"/>
        <v>-0.52780312472241508</v>
      </c>
    </row>
    <row r="202" spans="2:14" x14ac:dyDescent="0.55000000000000004">
      <c r="B202" t="s">
        <v>8</v>
      </c>
      <c r="C202" t="s">
        <v>7</v>
      </c>
      <c r="D202">
        <v>94</v>
      </c>
      <c r="E202">
        <f t="shared" si="18"/>
        <v>28.145100757233138</v>
      </c>
      <c r="F202">
        <v>12</v>
      </c>
      <c r="G202">
        <v>0</v>
      </c>
      <c r="H202">
        <f t="shared" si="20"/>
        <v>11.491935420781374</v>
      </c>
      <c r="L202">
        <f t="shared" si="21"/>
        <v>3.3373732988432518</v>
      </c>
      <c r="M202">
        <f t="shared" si="19"/>
        <v>4.0950151319812944</v>
      </c>
      <c r="N202">
        <f t="shared" si="22"/>
        <v>-0.75764183313804256</v>
      </c>
    </row>
    <row r="203" spans="2:14" x14ac:dyDescent="0.55000000000000004">
      <c r="B203" t="s">
        <v>8</v>
      </c>
      <c r="C203" t="s">
        <v>7</v>
      </c>
      <c r="D203">
        <v>95</v>
      </c>
      <c r="E203">
        <f t="shared" si="18"/>
        <v>25.089613221992064</v>
      </c>
      <c r="F203">
        <v>12</v>
      </c>
      <c r="G203">
        <v>0</v>
      </c>
      <c r="H203">
        <f t="shared" si="20"/>
        <v>5.745967710390687</v>
      </c>
      <c r="L203">
        <f t="shared" si="21"/>
        <v>3.2224539446354381</v>
      </c>
      <c r="M203">
        <f t="shared" si="19"/>
        <v>4.0950151319812944</v>
      </c>
      <c r="N203">
        <f t="shared" si="22"/>
        <v>-0.8725611873458563</v>
      </c>
    </row>
    <row r="204" spans="2:14" x14ac:dyDescent="0.55000000000000004">
      <c r="B204" t="s">
        <v>8</v>
      </c>
      <c r="C204" t="s">
        <v>7</v>
      </c>
      <c r="D204">
        <v>96</v>
      </c>
      <c r="E204">
        <f t="shared" si="18"/>
        <v>23.688608238242079</v>
      </c>
      <c r="F204">
        <v>12</v>
      </c>
      <c r="G204">
        <v>0</v>
      </c>
      <c r="H204">
        <f t="shared" si="20"/>
        <v>2.8729838551953435</v>
      </c>
      <c r="L204">
        <f t="shared" si="21"/>
        <v>3.1649942675315312</v>
      </c>
      <c r="M204">
        <f t="shared" si="19"/>
        <v>4.0950151319812944</v>
      </c>
      <c r="N204">
        <f t="shared" si="22"/>
        <v>-0.93002086444976317</v>
      </c>
    </row>
    <row r="205" spans="2:14" x14ac:dyDescent="0.55000000000000004">
      <c r="B205" t="s">
        <v>8</v>
      </c>
      <c r="C205" t="s">
        <v>7</v>
      </c>
      <c r="D205">
        <v>97</v>
      </c>
      <c r="E205">
        <f t="shared" ref="E205:E236" si="23">EXP(3-1.2*(LN(F205)-LN(AVERAGE(F:F)))+0.02*H205)</f>
        <v>23.017721724035326</v>
      </c>
      <c r="F205">
        <v>12</v>
      </c>
      <c r="G205">
        <v>0</v>
      </c>
      <c r="H205">
        <f t="shared" si="20"/>
        <v>1.4364919275976717</v>
      </c>
      <c r="L205">
        <f t="shared" si="21"/>
        <v>3.1362644289795778</v>
      </c>
      <c r="M205">
        <f t="shared" si="19"/>
        <v>4.0950151319812944</v>
      </c>
      <c r="N205">
        <f t="shared" si="22"/>
        <v>-0.95875070300171661</v>
      </c>
    </row>
    <row r="206" spans="2:14" x14ac:dyDescent="0.55000000000000004">
      <c r="B206" t="s">
        <v>8</v>
      </c>
      <c r="C206" t="s">
        <v>7</v>
      </c>
      <c r="D206">
        <v>98</v>
      </c>
      <c r="E206">
        <f t="shared" si="23"/>
        <v>22.365835427588003</v>
      </c>
      <c r="F206">
        <v>12</v>
      </c>
      <c r="G206">
        <v>0</v>
      </c>
      <c r="H206">
        <f t="shared" si="20"/>
        <v>0</v>
      </c>
      <c r="L206">
        <f t="shared" si="21"/>
        <v>3.1075345904276244</v>
      </c>
      <c r="M206">
        <f t="shared" si="19"/>
        <v>4.0950151319812944</v>
      </c>
      <c r="N206">
        <f t="shared" si="22"/>
        <v>-0.98748054155367004</v>
      </c>
    </row>
    <row r="207" spans="2:14" x14ac:dyDescent="0.55000000000000004">
      <c r="B207" t="s">
        <v>8</v>
      </c>
      <c r="C207" t="s">
        <v>7</v>
      </c>
      <c r="D207">
        <v>99</v>
      </c>
      <c r="E207">
        <f t="shared" si="23"/>
        <v>22.365835427588003</v>
      </c>
      <c r="F207">
        <v>12</v>
      </c>
      <c r="G207">
        <v>0</v>
      </c>
      <c r="H207">
        <f t="shared" si="20"/>
        <v>0</v>
      </c>
      <c r="L207">
        <f t="shared" si="21"/>
        <v>3.1075345904276244</v>
      </c>
      <c r="M207">
        <f t="shared" si="19"/>
        <v>4.0950151319812944</v>
      </c>
      <c r="N207">
        <f t="shared" si="22"/>
        <v>-0.98748054155367004</v>
      </c>
    </row>
    <row r="208" spans="2:14" x14ac:dyDescent="0.55000000000000004">
      <c r="B208" t="s">
        <v>8</v>
      </c>
      <c r="C208" t="s">
        <v>7</v>
      </c>
      <c r="D208">
        <v>100</v>
      </c>
      <c r="E208">
        <f t="shared" si="23"/>
        <v>22.365835427588003</v>
      </c>
      <c r="F208">
        <v>12</v>
      </c>
      <c r="G208">
        <v>0</v>
      </c>
      <c r="H208">
        <f t="shared" si="20"/>
        <v>0</v>
      </c>
      <c r="L208">
        <f t="shared" si="21"/>
        <v>3.1075345904276244</v>
      </c>
      <c r="M208">
        <f t="shared" si="19"/>
        <v>4.0950151319812944</v>
      </c>
      <c r="N208">
        <f t="shared" si="22"/>
        <v>-0.98748054155367004</v>
      </c>
    </row>
    <row r="209" spans="2:14" x14ac:dyDescent="0.55000000000000004">
      <c r="B209" t="s">
        <v>8</v>
      </c>
      <c r="C209" t="s">
        <v>7</v>
      </c>
      <c r="D209">
        <v>101</v>
      </c>
      <c r="E209">
        <f t="shared" si="23"/>
        <v>22.365835427588003</v>
      </c>
      <c r="F209">
        <v>12</v>
      </c>
      <c r="G209">
        <v>0</v>
      </c>
      <c r="H209">
        <f t="shared" si="20"/>
        <v>0</v>
      </c>
      <c r="L209">
        <f t="shared" si="21"/>
        <v>3.1075345904276244</v>
      </c>
      <c r="M209">
        <f t="shared" si="19"/>
        <v>4.0950151319812944</v>
      </c>
      <c r="N209">
        <f t="shared" si="22"/>
        <v>-0.98748054155367004</v>
      </c>
    </row>
    <row r="210" spans="2:14" x14ac:dyDescent="0.55000000000000004">
      <c r="B210" t="s">
        <v>8</v>
      </c>
      <c r="C210" t="s">
        <v>7</v>
      </c>
      <c r="D210">
        <v>102</v>
      </c>
      <c r="E210">
        <f t="shared" si="23"/>
        <v>22.365835427588003</v>
      </c>
      <c r="F210">
        <v>12</v>
      </c>
      <c r="G210">
        <v>0</v>
      </c>
      <c r="H210">
        <f t="shared" si="20"/>
        <v>0</v>
      </c>
      <c r="L210">
        <f t="shared" si="21"/>
        <v>3.1075345904276244</v>
      </c>
      <c r="M210">
        <f t="shared" si="19"/>
        <v>4.0950151319812944</v>
      </c>
      <c r="N210">
        <f t="shared" si="22"/>
        <v>-0.98748054155367004</v>
      </c>
    </row>
    <row r="211" spans="2:14" x14ac:dyDescent="0.55000000000000004">
      <c r="B211" t="s">
        <v>8</v>
      </c>
      <c r="C211" t="s">
        <v>7</v>
      </c>
      <c r="D211">
        <v>103</v>
      </c>
      <c r="E211">
        <f t="shared" si="23"/>
        <v>22.365835427588003</v>
      </c>
      <c r="F211">
        <v>12</v>
      </c>
      <c r="G211">
        <v>0</v>
      </c>
      <c r="H211">
        <f t="shared" si="20"/>
        <v>0</v>
      </c>
      <c r="L211">
        <f t="shared" si="21"/>
        <v>3.1075345904276244</v>
      </c>
      <c r="M211">
        <f t="shared" si="19"/>
        <v>4.0950151319812944</v>
      </c>
      <c r="N211">
        <f t="shared" si="22"/>
        <v>-0.98748054155367004</v>
      </c>
    </row>
    <row r="212" spans="2:14" x14ac:dyDescent="0.55000000000000004">
      <c r="B212" t="s">
        <v>8</v>
      </c>
      <c r="C212" t="s">
        <v>7</v>
      </c>
      <c r="D212">
        <v>104</v>
      </c>
      <c r="E212">
        <f t="shared" si="23"/>
        <v>22.365835427588003</v>
      </c>
      <c r="F212">
        <v>12</v>
      </c>
      <c r="G212">
        <v>0</v>
      </c>
      <c r="H212">
        <f t="shared" si="20"/>
        <v>0</v>
      </c>
      <c r="L212">
        <f t="shared" si="21"/>
        <v>3.1075345904276244</v>
      </c>
      <c r="M212">
        <f t="shared" si="19"/>
        <v>4.0950151319812944</v>
      </c>
      <c r="N212">
        <f t="shared" si="22"/>
        <v>-0.98748054155367004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Lorenzen</dc:creator>
  <cp:lastModifiedBy>T Lorenzen</cp:lastModifiedBy>
  <dcterms:created xsi:type="dcterms:W3CDTF">2018-05-12T02:04:23Z</dcterms:created>
  <dcterms:modified xsi:type="dcterms:W3CDTF">2018-05-15T19:13:58Z</dcterms:modified>
</cp:coreProperties>
</file>